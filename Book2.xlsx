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p\ci_4\personal\"/>
    </mc:Choice>
  </mc:AlternateContent>
  <xr:revisionPtr revIDLastSave="0" documentId="8_{40DCD1C4-73ED-403E-92A2-A042C13F7856}" xr6:coauthVersionLast="47" xr6:coauthVersionMax="47" xr10:uidLastSave="{00000000-0000-0000-0000-000000000000}"/>
  <bookViews>
    <workbookView xWindow="-120" yWindow="-120" windowWidth="29040" windowHeight="15720" firstSheet="1" activeTab="1" xr2:uid="{DAC08FD7-E343-488F-91AB-514051434F69}"/>
  </bookViews>
  <sheets>
    <sheet name="Sheet1" sheetId="1" r:id="rId1"/>
    <sheet name="Sheet10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1" sheetId="10" r:id="rId10"/>
  </sheets>
  <definedNames>
    <definedName name="_xlnm._FilterDatabase" localSheetId="9" hidden="1">Sheet11!$A$1:$C$61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" l="1"/>
  <c r="S14" i="2"/>
  <c r="M3" i="2"/>
  <c r="M4" i="2"/>
  <c r="M5" i="2"/>
  <c r="M6" i="2"/>
  <c r="M7" i="2"/>
  <c r="M8" i="2"/>
  <c r="M9" i="2"/>
  <c r="M10" i="2"/>
  <c r="M11" i="2"/>
  <c r="M12" i="2"/>
  <c r="M13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2" i="2"/>
  <c r="S3" i="2"/>
  <c r="S4" i="2"/>
  <c r="S5" i="2"/>
  <c r="S6" i="2"/>
  <c r="S7" i="2"/>
  <c r="S8" i="2"/>
  <c r="S9" i="2"/>
  <c r="S10" i="2"/>
  <c r="S11" i="2"/>
  <c r="S12" i="2"/>
  <c r="S13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2" i="2"/>
</calcChain>
</file>

<file path=xl/sharedStrings.xml><?xml version="1.0" encoding="utf-8"?>
<sst xmlns="http://schemas.openxmlformats.org/spreadsheetml/2006/main" count="3942" uniqueCount="1012">
  <si>
    <t>kode_position</t>
  </si>
  <si>
    <t>description</t>
  </si>
  <si>
    <t>new code</t>
  </si>
  <si>
    <t>position_category</t>
  </si>
  <si>
    <t>nama_dept</t>
  </si>
  <si>
    <t>nama_section</t>
  </si>
  <si>
    <t>status_position</t>
  </si>
  <si>
    <t>report_to</t>
  </si>
  <si>
    <t>nama_grade</t>
  </si>
  <si>
    <t>nama_rank</t>
  </si>
  <si>
    <t>nama_emp_category</t>
  </si>
  <si>
    <t>emp_class_nbhx</t>
  </si>
  <si>
    <t>status</t>
  </si>
  <si>
    <t>hitung_finger</t>
  </si>
  <si>
    <t>hitung_lembur</t>
  </si>
  <si>
    <t>effective_date</t>
  </si>
  <si>
    <t>POS101</t>
  </si>
  <si>
    <t>HRIS Staff</t>
  </si>
  <si>
    <t>POS-0061</t>
  </si>
  <si>
    <t>人事部 HR Dept.</t>
  </si>
  <si>
    <t>HRGA</t>
  </si>
  <si>
    <t>HR</t>
  </si>
  <si>
    <t>REG</t>
  </si>
  <si>
    <t>HRGA Manager</t>
  </si>
  <si>
    <t>Skilled Worker</t>
  </si>
  <si>
    <t>Staff</t>
  </si>
  <si>
    <t>Indirect</t>
  </si>
  <si>
    <t>Indirect - Management</t>
  </si>
  <si>
    <t>POS078</t>
  </si>
  <si>
    <t>Document control</t>
  </si>
  <si>
    <t>POS-0062</t>
  </si>
  <si>
    <t>Quality Management System</t>
  </si>
  <si>
    <t>QMS</t>
  </si>
  <si>
    <t>Lead QMS</t>
  </si>
  <si>
    <t>POS110</t>
  </si>
  <si>
    <t>Purchasing Lead (Log)</t>
  </si>
  <si>
    <t>POS-0063</t>
  </si>
  <si>
    <t>Logistic</t>
  </si>
  <si>
    <t>Purchasing</t>
  </si>
  <si>
    <t>Logistic Manager</t>
  </si>
  <si>
    <t>Supervisor</t>
  </si>
  <si>
    <t>POS096</t>
  </si>
  <si>
    <t>Trainer Lead</t>
  </si>
  <si>
    <t>POS-0064</t>
  </si>
  <si>
    <t>Supervisor / Specialist</t>
  </si>
  <si>
    <t>POS161</t>
  </si>
  <si>
    <t>Lead Planner Final Inspection</t>
  </si>
  <si>
    <t>POS-0065</t>
  </si>
  <si>
    <t>经理/主管 Manager/Supervisor</t>
  </si>
  <si>
    <t>Manufacturing</t>
  </si>
  <si>
    <t>Production Planner</t>
  </si>
  <si>
    <t>Manufacturing Manager</t>
  </si>
  <si>
    <t>POS164</t>
  </si>
  <si>
    <t>Lead Planner Injection Assy</t>
  </si>
  <si>
    <t>POS-0066</t>
  </si>
  <si>
    <t>POS097</t>
  </si>
  <si>
    <t>RnD Supervisor</t>
  </si>
  <si>
    <t>POS-0067</t>
  </si>
  <si>
    <t>Research &amp; Development</t>
  </si>
  <si>
    <t>RnD</t>
  </si>
  <si>
    <t>RnD Manager</t>
  </si>
  <si>
    <t>POS098</t>
  </si>
  <si>
    <t>Lead Project</t>
  </si>
  <si>
    <t>POS-0068</t>
  </si>
  <si>
    <t>POS085</t>
  </si>
  <si>
    <t>POS-0069</t>
  </si>
  <si>
    <t>General Manager</t>
  </si>
  <si>
    <t>POS086</t>
  </si>
  <si>
    <t>Lead Compliance</t>
  </si>
  <si>
    <t>POS-0070</t>
  </si>
  <si>
    <t>Compliance Patrol</t>
  </si>
  <si>
    <t>POS056</t>
  </si>
  <si>
    <t>System Administrator</t>
  </si>
  <si>
    <t>POS-0071</t>
  </si>
  <si>
    <t>Logistic &amp; Purchasing</t>
  </si>
  <si>
    <t>POS116</t>
  </si>
  <si>
    <t>Lead SCM</t>
  </si>
  <si>
    <t>POS-0072</t>
  </si>
  <si>
    <t>物流客服 Customer Service</t>
  </si>
  <si>
    <t>Supply Chain Management</t>
  </si>
  <si>
    <t>POS122</t>
  </si>
  <si>
    <t>Customer Service</t>
  </si>
  <si>
    <t>POS-0076</t>
  </si>
  <si>
    <t>Business &amp; Sales</t>
  </si>
  <si>
    <t>Lead Sales</t>
  </si>
  <si>
    <t>Indirect - Business</t>
  </si>
  <si>
    <t>POS-0077</t>
  </si>
  <si>
    <t>POS052</t>
  </si>
  <si>
    <t>POS-0078</t>
  </si>
  <si>
    <t>Lead Warehouse</t>
  </si>
  <si>
    <t>Quasy</t>
  </si>
  <si>
    <t>POS143</t>
  </si>
  <si>
    <t>Tukang Kebun/Gardener</t>
  </si>
  <si>
    <t>POS-0079</t>
  </si>
  <si>
    <t>外包工人 Outsourced Worker</t>
  </si>
  <si>
    <t>GA</t>
  </si>
  <si>
    <t>TMP</t>
  </si>
  <si>
    <t>GA Staff</t>
  </si>
  <si>
    <t>Non Skill Worker</t>
  </si>
  <si>
    <t>Helper</t>
  </si>
  <si>
    <t>Quasi - Production Assisting</t>
  </si>
  <si>
    <t>POS159</t>
  </si>
  <si>
    <t>PHL MB</t>
  </si>
  <si>
    <t>POS-0080</t>
  </si>
  <si>
    <t>Building Maintenance</t>
  </si>
  <si>
    <t>POS140</t>
  </si>
  <si>
    <t>Mover Injection PHL</t>
  </si>
  <si>
    <t>POS-0081</t>
  </si>
  <si>
    <t>Production</t>
  </si>
  <si>
    <t xml:space="preserve">Shift Leader Injection </t>
  </si>
  <si>
    <t>POS-0082</t>
  </si>
  <si>
    <t>POS142</t>
  </si>
  <si>
    <t xml:space="preserve">Crushing Part </t>
  </si>
  <si>
    <t>POS-0083</t>
  </si>
  <si>
    <t>POS-0084</t>
  </si>
  <si>
    <t>POS151</t>
  </si>
  <si>
    <t>Waterbath PHL</t>
  </si>
  <si>
    <t>POS-0085</t>
  </si>
  <si>
    <t>POS-0086</t>
  </si>
  <si>
    <t>POS156</t>
  </si>
  <si>
    <t>Operator Sortir Injection</t>
  </si>
  <si>
    <t>POS-0087</t>
  </si>
  <si>
    <t>POS-0088</t>
  </si>
  <si>
    <t>POS160</t>
  </si>
  <si>
    <t>Operator Sortir FI</t>
  </si>
  <si>
    <t>POS-0089</t>
  </si>
  <si>
    <t>Final Inspection</t>
  </si>
  <si>
    <t>Lead Planner</t>
  </si>
  <si>
    <t>POS139</t>
  </si>
  <si>
    <t>Operator RB</t>
  </si>
  <si>
    <t>POS-0090</t>
  </si>
  <si>
    <t>Group Leader Warehouse</t>
  </si>
  <si>
    <t>POS144</t>
  </si>
  <si>
    <t>Operator Sub Packing Collar</t>
  </si>
  <si>
    <t>POS-0091</t>
  </si>
  <si>
    <t>WH Material  Leader</t>
  </si>
  <si>
    <t>POS-0092</t>
  </si>
  <si>
    <t>Group Leader Material</t>
  </si>
  <si>
    <t>POS-0093</t>
  </si>
  <si>
    <t>POS147</t>
  </si>
  <si>
    <t>Sortir Part</t>
  </si>
  <si>
    <t>POS-0094</t>
  </si>
  <si>
    <t>Quality Assurance</t>
  </si>
  <si>
    <t>Quality Control</t>
  </si>
  <si>
    <t>QC Coordinator</t>
  </si>
  <si>
    <t>POS148</t>
  </si>
  <si>
    <t>Lab Helper</t>
  </si>
  <si>
    <t>POS-0095</t>
  </si>
  <si>
    <t>Laboratory</t>
  </si>
  <si>
    <t xml:space="preserve">Group Leader Lab </t>
  </si>
  <si>
    <t>POS065</t>
  </si>
  <si>
    <t>Mover Injection A</t>
  </si>
  <si>
    <t>POS-0096</t>
  </si>
  <si>
    <t>木工 Others</t>
  </si>
  <si>
    <t>Basic Skill Worker</t>
  </si>
  <si>
    <t>Operator</t>
  </si>
  <si>
    <t>POS-0097</t>
  </si>
  <si>
    <t>POS066</t>
  </si>
  <si>
    <t>Mover Injection B</t>
  </si>
  <si>
    <t>POS-0098</t>
  </si>
  <si>
    <t>Shift Leader Injection B</t>
  </si>
  <si>
    <t>POS095</t>
  </si>
  <si>
    <t>Steaming Room Operator</t>
  </si>
  <si>
    <t>POS-0099</t>
  </si>
  <si>
    <t>POS-0100</t>
  </si>
  <si>
    <t>POS042</t>
  </si>
  <si>
    <t>WH RB Cleaner</t>
  </si>
  <si>
    <t>POS-0101</t>
  </si>
  <si>
    <t>WH Collar Leader</t>
  </si>
  <si>
    <t>POS043</t>
  </si>
  <si>
    <t>Warehouse Operator</t>
  </si>
  <si>
    <t>POS-0102</t>
  </si>
  <si>
    <t>POS044</t>
  </si>
  <si>
    <t>WH Material Operator</t>
  </si>
  <si>
    <t>POS-0103</t>
  </si>
  <si>
    <t>POS-0104</t>
  </si>
  <si>
    <t>POS-0105</t>
  </si>
  <si>
    <t>POS120</t>
  </si>
  <si>
    <t>Delivery Operator</t>
  </si>
  <si>
    <t>POS-0106</t>
  </si>
  <si>
    <t>Delivery Leader</t>
  </si>
  <si>
    <t>POS-0107</t>
  </si>
  <si>
    <t>POS-0108</t>
  </si>
  <si>
    <t>POS-0109</t>
  </si>
  <si>
    <t>POS-0110</t>
  </si>
  <si>
    <t>POS-0111</t>
  </si>
  <si>
    <t>POS-0112</t>
  </si>
  <si>
    <t>POS046</t>
  </si>
  <si>
    <t>POS-0113</t>
  </si>
  <si>
    <t>POS047</t>
  </si>
  <si>
    <t>Delivery Admin</t>
  </si>
  <si>
    <t>POS-0114</t>
  </si>
  <si>
    <t>Delivery Control</t>
  </si>
  <si>
    <t>Delivery Staff</t>
  </si>
  <si>
    <t>POS075</t>
  </si>
  <si>
    <t>QC Patrol</t>
  </si>
  <si>
    <t>POS-0115</t>
  </si>
  <si>
    <t>检验员-注塑 Inspector-Injection</t>
  </si>
  <si>
    <t>QC Patrol Leader</t>
  </si>
  <si>
    <t>POS169</t>
  </si>
  <si>
    <t>QC Patrol PHL</t>
  </si>
  <si>
    <t>POS-0116</t>
  </si>
  <si>
    <t>Group Leader QC</t>
  </si>
  <si>
    <t>POS133</t>
  </si>
  <si>
    <t>Setter</t>
  </si>
  <si>
    <t>POS-0117</t>
  </si>
  <si>
    <t>装模工 Mold Setter</t>
  </si>
  <si>
    <t>Leader</t>
  </si>
  <si>
    <t>POS111</t>
  </si>
  <si>
    <t>Warehouse Leader</t>
  </si>
  <si>
    <t>POS-0118</t>
  </si>
  <si>
    <t>仓库主管/保管员 Leader Warehouse</t>
  </si>
  <si>
    <t>POS117</t>
  </si>
  <si>
    <t>POS-0119</t>
  </si>
  <si>
    <t>POS050</t>
  </si>
  <si>
    <t>POS-0120</t>
  </si>
  <si>
    <t>MRP Staff</t>
  </si>
  <si>
    <t>POS-0121</t>
  </si>
  <si>
    <t>POS-0122</t>
  </si>
  <si>
    <t>POS166</t>
  </si>
  <si>
    <t>Group Leader Delivery</t>
  </si>
  <si>
    <t>POS-0123</t>
  </si>
  <si>
    <t>POS074</t>
  </si>
  <si>
    <t>POS-0124</t>
  </si>
  <si>
    <t>POS081</t>
  </si>
  <si>
    <t>POS-0125</t>
  </si>
  <si>
    <t>Lead QC</t>
  </si>
  <si>
    <t>POS108</t>
  </si>
  <si>
    <t>POS-0126</t>
  </si>
  <si>
    <t>POS103</t>
  </si>
  <si>
    <t>WH FG Leader</t>
  </si>
  <si>
    <t>POS-0127</t>
  </si>
  <si>
    <t>Direct</t>
  </si>
  <si>
    <t>POS135</t>
  </si>
  <si>
    <t>Admin HRGA</t>
  </si>
  <si>
    <t>POS-0128</t>
  </si>
  <si>
    <t>HR Staff</t>
  </si>
  <si>
    <t>Indirect - Administration</t>
  </si>
  <si>
    <t>POS155</t>
  </si>
  <si>
    <t>Training Helper</t>
  </si>
  <si>
    <t>POS-0129</t>
  </si>
  <si>
    <t>POS136</t>
  </si>
  <si>
    <t>Admin Analyst</t>
  </si>
  <si>
    <t>POS-0130</t>
  </si>
  <si>
    <t>Process Engineer</t>
  </si>
  <si>
    <t>POS138</t>
  </si>
  <si>
    <t>Admin PE</t>
  </si>
  <si>
    <t>POS-0131</t>
  </si>
  <si>
    <t>Leader Process Engineer</t>
  </si>
  <si>
    <t>POS152</t>
  </si>
  <si>
    <t>Admin PE Helper</t>
  </si>
  <si>
    <t>POS-0132</t>
  </si>
  <si>
    <t>POS145</t>
  </si>
  <si>
    <t xml:space="preserve">System Analyst </t>
  </si>
  <si>
    <t>POS-0133</t>
  </si>
  <si>
    <t>ERP Administrator</t>
  </si>
  <si>
    <t>POS157</t>
  </si>
  <si>
    <t>Admin Delivery Helper</t>
  </si>
  <si>
    <t>POS-0134</t>
  </si>
  <si>
    <t>POS-0135</t>
  </si>
  <si>
    <t>POS158</t>
  </si>
  <si>
    <t>Admin SCM Helper</t>
  </si>
  <si>
    <t>POS-0136</t>
  </si>
  <si>
    <t>POS-0137</t>
  </si>
  <si>
    <t>POS-0138</t>
  </si>
  <si>
    <t>POS146</t>
  </si>
  <si>
    <t>Admin Sales</t>
  </si>
  <si>
    <t>POS-0139</t>
  </si>
  <si>
    <t>POS137</t>
  </si>
  <si>
    <t>Admin QA</t>
  </si>
  <si>
    <t>POS-0140</t>
  </si>
  <si>
    <t>Quality</t>
  </si>
  <si>
    <t>Quality Admin</t>
  </si>
  <si>
    <t>POS-0141</t>
  </si>
  <si>
    <t>POS141</t>
  </si>
  <si>
    <t>Purchasing Helper</t>
  </si>
  <si>
    <t>POS-0142</t>
  </si>
  <si>
    <t>Purchasing Lead</t>
  </si>
  <si>
    <t>POS154</t>
  </si>
  <si>
    <t>Training Staff (PHL)</t>
  </si>
  <si>
    <t>POS-0143</t>
  </si>
  <si>
    <t>POS163</t>
  </si>
  <si>
    <t>Planner Admin Final Inspection</t>
  </si>
  <si>
    <t>POS-0144</t>
  </si>
  <si>
    <t>标签员 Label Printer</t>
  </si>
  <si>
    <t>POS165</t>
  </si>
  <si>
    <t>Planner Admin Injection Assy</t>
  </si>
  <si>
    <t>POS-0145</t>
  </si>
  <si>
    <t>POS041</t>
  </si>
  <si>
    <t>Driver</t>
  </si>
  <si>
    <t>POS-0146</t>
  </si>
  <si>
    <t>Lead IRGA</t>
  </si>
  <si>
    <t>POS-0147</t>
  </si>
  <si>
    <t>Group Leader SCM</t>
  </si>
  <si>
    <t>POS094</t>
  </si>
  <si>
    <t>POS-0148</t>
  </si>
  <si>
    <t>POS093</t>
  </si>
  <si>
    <t>SHE Staff</t>
  </si>
  <si>
    <t>POS-0149</t>
  </si>
  <si>
    <t>POS112</t>
  </si>
  <si>
    <t>POS-0150</t>
  </si>
  <si>
    <t>POS-0151</t>
  </si>
  <si>
    <t>POS113</t>
  </si>
  <si>
    <t>Analyst Admin</t>
  </si>
  <si>
    <t>POS-0152</t>
  </si>
  <si>
    <t>Production Analyst</t>
  </si>
  <si>
    <t>POS129</t>
  </si>
  <si>
    <t>Analyst Admin (PRODUCT)</t>
  </si>
  <si>
    <t>POS-0153</t>
  </si>
  <si>
    <t>POS124</t>
  </si>
  <si>
    <t>PM Analyst</t>
  </si>
  <si>
    <t>POS-0154</t>
  </si>
  <si>
    <t>设备主管/维修保养员  Mainttenance Supervisor/ Mainttenance</t>
  </si>
  <si>
    <t>POS121</t>
  </si>
  <si>
    <t>Final Inspection Admin</t>
  </si>
  <si>
    <t>POS-0155</t>
  </si>
  <si>
    <t>Shift Leader FI</t>
  </si>
  <si>
    <t>POS-0156</t>
  </si>
  <si>
    <t>POS153</t>
  </si>
  <si>
    <t>Finance and Accounting Staff</t>
  </si>
  <si>
    <t>POS-0157</t>
  </si>
  <si>
    <t>财务部 Finance Dept.</t>
  </si>
  <si>
    <t>Finance &amp; Accounting</t>
  </si>
  <si>
    <t>Finance Manager</t>
  </si>
  <si>
    <t>POS082</t>
  </si>
  <si>
    <t>Engineer Assistant</t>
  </si>
  <si>
    <t>POS-0158</t>
  </si>
  <si>
    <t>POS083</t>
  </si>
  <si>
    <t>Technical Administration</t>
  </si>
  <si>
    <t>POS-0159</t>
  </si>
  <si>
    <t>POS099</t>
  </si>
  <si>
    <t>POS-0160</t>
  </si>
  <si>
    <t>POS100</t>
  </si>
  <si>
    <t>PPAP Control</t>
  </si>
  <si>
    <t>POS-0161</t>
  </si>
  <si>
    <t>POS-0162</t>
  </si>
  <si>
    <t>POS077</t>
  </si>
  <si>
    <t>POS-0163</t>
  </si>
  <si>
    <t>POS131</t>
  </si>
  <si>
    <t>System Specialist</t>
  </si>
  <si>
    <t>POS-0164</t>
  </si>
  <si>
    <t>POS132</t>
  </si>
  <si>
    <t>Internal Control</t>
  </si>
  <si>
    <t>POS-0165</t>
  </si>
  <si>
    <t>POS054</t>
  </si>
  <si>
    <t>Purchasing Staff (Log)</t>
  </si>
  <si>
    <t>POS-0166</t>
  </si>
  <si>
    <t>POS053</t>
  </si>
  <si>
    <t>POS-0167</t>
  </si>
  <si>
    <t>POS-0168</t>
  </si>
  <si>
    <t>POS-0169</t>
  </si>
  <si>
    <t>Vice  GM</t>
  </si>
  <si>
    <t>POS-0170</t>
  </si>
  <si>
    <t>POS107</t>
  </si>
  <si>
    <t>Sales Admin</t>
  </si>
  <si>
    <t>POS-0171</t>
  </si>
  <si>
    <t>销售部 Sales Dept.</t>
  </si>
  <si>
    <t>POS080</t>
  </si>
  <si>
    <t>POS-0172</t>
  </si>
  <si>
    <t>统计分析员 Statistician/Analyst/Technical Admin</t>
  </si>
  <si>
    <t>Quality Manager</t>
  </si>
  <si>
    <t>POS167</t>
  </si>
  <si>
    <t>Quality Statistician</t>
  </si>
  <si>
    <t>POS-0173</t>
  </si>
  <si>
    <t>POS128</t>
  </si>
  <si>
    <t>Purchasing Staff</t>
  </si>
  <si>
    <t>POS-0174</t>
  </si>
  <si>
    <t>POS092</t>
  </si>
  <si>
    <t>GA Coordinator</t>
  </si>
  <si>
    <t>POS-0175</t>
  </si>
  <si>
    <t>POS127</t>
  </si>
  <si>
    <t>Leader GA</t>
  </si>
  <si>
    <t>POS-0176</t>
  </si>
  <si>
    <t>POS105</t>
  </si>
  <si>
    <t>Compliance Coordinator</t>
  </si>
  <si>
    <t>POS-0177</t>
  </si>
  <si>
    <t>POS150</t>
  </si>
  <si>
    <t>POS-0178</t>
  </si>
  <si>
    <t>POS-0179</t>
  </si>
  <si>
    <t>POS-0180</t>
  </si>
  <si>
    <t>POS051</t>
  </si>
  <si>
    <t>POS-0181</t>
  </si>
  <si>
    <t>POS134</t>
  </si>
  <si>
    <t>Lab. Assistant</t>
  </si>
  <si>
    <t>POS-0182</t>
  </si>
  <si>
    <t>Indirect - Technical</t>
  </si>
  <si>
    <t>POS087</t>
  </si>
  <si>
    <t>Lab Operator</t>
  </si>
  <si>
    <t>POS-0183</t>
  </si>
  <si>
    <t>POS104</t>
  </si>
  <si>
    <t>GA Helper</t>
  </si>
  <si>
    <t>POS-0184</t>
  </si>
  <si>
    <t>POS123</t>
  </si>
  <si>
    <t>POS-0185</t>
  </si>
  <si>
    <t>生产工程师 PE</t>
  </si>
  <si>
    <t>Engineer</t>
  </si>
  <si>
    <t>POS089</t>
  </si>
  <si>
    <t>Product Engineer</t>
  </si>
  <si>
    <t>POS-0186</t>
  </si>
  <si>
    <t>POS-0187</t>
  </si>
  <si>
    <t>POS109</t>
  </si>
  <si>
    <t>Quality Engineer Specialist</t>
  </si>
  <si>
    <t>POS-0188</t>
  </si>
  <si>
    <t>质量工程师 QE</t>
  </si>
  <si>
    <t>POS088</t>
  </si>
  <si>
    <t>Quality Engineer</t>
  </si>
  <si>
    <t>POS-0189</t>
  </si>
  <si>
    <t>Quality Engineering</t>
  </si>
  <si>
    <t>POS126</t>
  </si>
  <si>
    <t>POS-0190</t>
  </si>
  <si>
    <t>POS091</t>
  </si>
  <si>
    <t>POS-0191</t>
  </si>
  <si>
    <t>POS090</t>
  </si>
  <si>
    <t>Mold Engineer</t>
  </si>
  <si>
    <t>POS-0192</t>
  </si>
  <si>
    <t>POS079</t>
  </si>
  <si>
    <t>POS-0193</t>
  </si>
  <si>
    <t>POS102</t>
  </si>
  <si>
    <t>Lead QE</t>
  </si>
  <si>
    <t>POS-0194</t>
  </si>
  <si>
    <t>POS149</t>
  </si>
  <si>
    <t>Production Operator PHL</t>
  </si>
  <si>
    <t>POS-0195</t>
  </si>
  <si>
    <t>Direct - Production Worker</t>
  </si>
  <si>
    <t>POS-0196</t>
  </si>
  <si>
    <t>POS062</t>
  </si>
  <si>
    <t>Operator Injection B</t>
  </si>
  <si>
    <t>POS-0197</t>
  </si>
  <si>
    <t>注塑工人 Injection Operator</t>
  </si>
  <si>
    <t>Group Leader Injection B</t>
  </si>
  <si>
    <t>POS063</t>
  </si>
  <si>
    <t>Operator Injection C</t>
  </si>
  <si>
    <t>POS-0198</t>
  </si>
  <si>
    <t>Group Leader Injection C</t>
  </si>
  <si>
    <t>POS064</t>
  </si>
  <si>
    <t>Operator Injection Magang</t>
  </si>
  <si>
    <t>POS-0199</t>
  </si>
  <si>
    <t>Production Admin</t>
  </si>
  <si>
    <t>POS067</t>
  </si>
  <si>
    <t>Operator Assembly B</t>
  </si>
  <si>
    <t>POS-0200</t>
  </si>
  <si>
    <t>装配工 Assembly Operator</t>
  </si>
  <si>
    <t>Assembly</t>
  </si>
  <si>
    <t>Group Leader Assembly B</t>
  </si>
  <si>
    <t>POS068</t>
  </si>
  <si>
    <t>Operator Assembly C</t>
  </si>
  <si>
    <t>POS-0201</t>
  </si>
  <si>
    <t>Group Leader Assembly C</t>
  </si>
  <si>
    <t>POS130</t>
  </si>
  <si>
    <t>Operator Senior</t>
  </si>
  <si>
    <t>POS-0202</t>
  </si>
  <si>
    <t>全检工 Final Inspector</t>
  </si>
  <si>
    <t>Group Leader Final Inspection</t>
  </si>
  <si>
    <t>POS125</t>
  </si>
  <si>
    <t>Office Boy</t>
  </si>
  <si>
    <t>Indirect - Supporting Service</t>
  </si>
  <si>
    <t>POS045</t>
  </si>
  <si>
    <t>Driver Milkrun</t>
  </si>
  <si>
    <t>辅助工—原辅料Assistance-Raw Material/Auxiliary Material</t>
  </si>
  <si>
    <t>229828ce-6242-497a-9b60-6f2298ffbc57</t>
  </si>
  <si>
    <t>PNBHX-0001</t>
  </si>
  <si>
    <t>经理室 GMs Office</t>
  </si>
  <si>
    <t>2026-01-07 10:56:23+07</t>
  </si>
  <si>
    <t>e7bc39fa-9436-4883-ab9a-1b12836dab36</t>
  </si>
  <si>
    <t>PNBHX-0002</t>
  </si>
  <si>
    <t>2026-01-07 10:56:33+07</t>
  </si>
  <si>
    <t>cdde0d53-fc81-41e0-8b64-f695b8c1e904</t>
  </si>
  <si>
    <t>PNBHX-0003</t>
  </si>
  <si>
    <t>2026-01-07 10:56:43+07</t>
  </si>
  <si>
    <t>6600e63e-3a94-41f3-a94c-74c7d423a70e</t>
  </si>
  <si>
    <t>PNBHX-0004</t>
  </si>
  <si>
    <t>2026-01-07 10:56:50+07</t>
  </si>
  <si>
    <t>da334582-95ef-48ce-a87b-b01ccbff1a57</t>
  </si>
  <si>
    <t>PNBHX-0005</t>
  </si>
  <si>
    <t>2026-01-07 10:56:56+07</t>
  </si>
  <si>
    <t>1a18368c-d9ab-45f7-a7a1-f1f6b0ae2bf7</t>
  </si>
  <si>
    <t>PNBHX-0006</t>
  </si>
  <si>
    <t>计划员 Production Planer</t>
  </si>
  <si>
    <t>2026-01-07 10:57:03+07</t>
  </si>
  <si>
    <t>92aaaabe-7306-4be6-a9f0-537fa0219d7b</t>
  </si>
  <si>
    <t>PNBHX-0007</t>
  </si>
  <si>
    <t>2026-01-07 10:57:11+07</t>
  </si>
  <si>
    <t>f1afeb99-8756-4ac3-be35-f7a901c5cadd</t>
  </si>
  <si>
    <t>PNBHX-0008</t>
  </si>
  <si>
    <t>统计分析员Statistician/Analyst</t>
  </si>
  <si>
    <t>2026-01-07 10:57:18+07</t>
  </si>
  <si>
    <t>f0b38536-a5c1-4aba-841f-ee15bc04fcc2</t>
  </si>
  <si>
    <t>PNBHX-0009</t>
  </si>
  <si>
    <t>2026-01-07 10:57:25+07</t>
  </si>
  <si>
    <t>4d3590c9-9fc1-4061-b853-3d1fb616702e</t>
  </si>
  <si>
    <t>PNBHX-0010</t>
  </si>
  <si>
    <t>模具主管/维修保养员 Mould Tech</t>
  </si>
  <si>
    <t>2026-01-07 10:57:47+07</t>
  </si>
  <si>
    <t>22e498a8-dca2-44f5-9c5d-9eeaeeb3a393</t>
  </si>
  <si>
    <t>PNBHX-0011</t>
  </si>
  <si>
    <t>工长 Shift Leader</t>
  </si>
  <si>
    <t>2026-01-07 10:57:53+07</t>
  </si>
  <si>
    <t>e85eebb4-da2b-46ba-a2aa-98e6377df6d8</t>
  </si>
  <si>
    <t>PNBHX-0012</t>
  </si>
  <si>
    <t>2026-01-07 10:57:58+07</t>
  </si>
  <si>
    <t>38355623-fc9d-4ea6-a611-3b4c3bc67c7f</t>
  </si>
  <si>
    <t>PNBHX-0013</t>
  </si>
  <si>
    <t>2026-01-07 10:58:04+07</t>
  </si>
  <si>
    <t>4797c27c-267e-41c6-b9a6-8beb77541c36</t>
  </si>
  <si>
    <t>PNBHX-0014</t>
  </si>
  <si>
    <t>2026-01-07 10:58:13+07</t>
  </si>
  <si>
    <t>3573b8bf-31b7-43b1-95c5-3404363762c5</t>
  </si>
  <si>
    <t>PNBHX-0015</t>
  </si>
  <si>
    <t>2026-01-07 10:58:19+07</t>
  </si>
  <si>
    <t>a8673067-6603-484e-b008-24f531188de4</t>
  </si>
  <si>
    <t>PNBHX-0016</t>
  </si>
  <si>
    <t>2026-01-07 10:58:29+07</t>
  </si>
  <si>
    <t>07486584-eba8-4582-a027-73fda1a7aba6</t>
  </si>
  <si>
    <t>PNBHX-0017</t>
  </si>
  <si>
    <t>2026-01-07 10:58:36+07</t>
  </si>
  <si>
    <t>988c0828-59ae-4278-b58a-ec4ad79feced</t>
  </si>
  <si>
    <t>PNBHX-0018</t>
  </si>
  <si>
    <t>2026-01-07 10:58:41+07</t>
  </si>
  <si>
    <t>f325bf0e-bde9-4625-a86f-c3b37ab67f4e</t>
  </si>
  <si>
    <t>PNBHX-0019</t>
  </si>
  <si>
    <t>辅助工—半成品Assistance-Semi-finished Goods</t>
  </si>
  <si>
    <t>2026-01-07 10:58:47+07</t>
  </si>
  <si>
    <t>48abd7c1-020c-4f6e-a8de-d5d85efd1436</t>
  </si>
  <si>
    <t>PNBHX-0020</t>
  </si>
  <si>
    <t>2026-01-07 10:58:55+07</t>
  </si>
  <si>
    <t>e0333210-2475-492b-8e90-ff0be77668bf</t>
  </si>
  <si>
    <t>PNBHX-0021</t>
  </si>
  <si>
    <t>辅助工—成品（含发货和备货）Assistance-Finished Goods</t>
  </si>
  <si>
    <t>2026-01-07 10:59:01+07</t>
  </si>
  <si>
    <t>cb21f0bb-877d-4ff7-9dab-391d275cb0e7</t>
  </si>
  <si>
    <t>PNBHX-0022</t>
  </si>
  <si>
    <t>2026-01-07 10:59:07+07</t>
  </si>
  <si>
    <t>ba5ceee7-1b0e-4b5d-8e41-886676c2b604</t>
  </si>
  <si>
    <t>PNBHX-0023</t>
  </si>
  <si>
    <t>2026-01-07 10:59:12+07</t>
  </si>
  <si>
    <t>5278e692-7ff8-4a27-bf51-3137dc831aee</t>
  </si>
  <si>
    <t>PNBHX-0024</t>
  </si>
  <si>
    <t>2026-01-07 10:59:18+07</t>
  </si>
  <si>
    <t>c5a7aec9-c820-4e2d-88eb-e24c52609278</t>
  </si>
  <si>
    <t>PNBHX-0025</t>
  </si>
  <si>
    <t>2026-01-07 10:59:23+07</t>
  </si>
  <si>
    <t>43e0334f-c163-4447-9426-853dbabe135d</t>
  </si>
  <si>
    <t>PNBHX-0026</t>
  </si>
  <si>
    <t>采购部 Purchase Dept.</t>
  </si>
  <si>
    <t>2026-01-07 10:59:29+07</t>
  </si>
  <si>
    <t>852468a1-4c6d-4dde-be54-c8f5fba46d5e</t>
  </si>
  <si>
    <t>PNBHX-0027</t>
  </si>
  <si>
    <t>2026-01-07 10:59:36+07</t>
  </si>
  <si>
    <t>ad4c4dae-5a63-48e7-b209-4d4b86e7b193</t>
  </si>
  <si>
    <t>PNBHX-0028</t>
  </si>
  <si>
    <t>2026-01-07 10:59:42+07</t>
  </si>
  <si>
    <t>d431d129-8525-4d25-ab01-cc4f1e720561</t>
  </si>
  <si>
    <t>PNBHX-0029</t>
  </si>
  <si>
    <t>2026-01-07 10:59:48+07</t>
  </si>
  <si>
    <t>1cf2b414-b559-49d0-9bf6-89d91f05b853</t>
  </si>
  <si>
    <t>PNBHX-0030</t>
  </si>
  <si>
    <t>2026-01-07 10:59:54+07</t>
  </si>
  <si>
    <t>2d284812-1782-402b-9d5b-6e935d345a09</t>
  </si>
  <si>
    <t>PNBHX-0031</t>
  </si>
  <si>
    <t>开发部 R&amp;D Dept.</t>
  </si>
  <si>
    <t>2026-01-07 11:00:00+07</t>
  </si>
  <si>
    <t>8f5bc947-d8c7-4415-985e-bcb9e0507d84</t>
  </si>
  <si>
    <t>PNBHX-0032</t>
  </si>
  <si>
    <t>试验员 Tester</t>
  </si>
  <si>
    <t>2026-01-07 11:00:06+07</t>
  </si>
  <si>
    <t>47ac5f96-af7a-4758-afd3-c4c2de50eafa</t>
  </si>
  <si>
    <t>PNBHX-0033</t>
  </si>
  <si>
    <t>2026-01-07 11:00:12+07</t>
  </si>
  <si>
    <t>25194597-e93d-405a-9f3c-9178e818d134</t>
  </si>
  <si>
    <t>PNBHX-0034</t>
  </si>
  <si>
    <t>2026-01-07 11:00:20+07</t>
  </si>
  <si>
    <t>d702198b-692b-4d0f-aff3-7a499973d776</t>
  </si>
  <si>
    <t>PNBHX-0035</t>
  </si>
  <si>
    <t>体系运行部  System Operation Dept</t>
  </si>
  <si>
    <t>2026-01-07 11:00:27+07</t>
  </si>
  <si>
    <t>55161aec-9133-42e3-ac42-549273940d84</t>
  </si>
  <si>
    <t>PNBHX-0036</t>
  </si>
  <si>
    <t>2026-01-07 11:00:34+07</t>
  </si>
  <si>
    <t>id</t>
  </si>
  <si>
    <t>code</t>
  </si>
  <si>
    <t>name</t>
  </si>
  <si>
    <t>position_category_id</t>
  </si>
  <si>
    <t>dept_id</t>
  </si>
  <si>
    <t>bc37c241-955c-4c8b-a7d9-36f65f2b203b</t>
  </si>
  <si>
    <t>DPT-0001</t>
  </si>
  <si>
    <t>BOD</t>
  </si>
  <si>
    <t>2026-01-08 16:14:01+07</t>
  </si>
  <si>
    <t>2026-01-08 16:15:35+07</t>
  </si>
  <si>
    <t>70b198d1-8c23-458e-b106-f9e9bad7eebf</t>
  </si>
  <si>
    <t>DPT-0002</t>
  </si>
  <si>
    <t>2026-01-08 16:14:06+07</t>
  </si>
  <si>
    <t>2026-01-08 16:15:42+07</t>
  </si>
  <si>
    <t>edd72a9e-2349-4040-b9b1-4aa6897699d4</t>
  </si>
  <si>
    <t>DPT-0003</t>
  </si>
  <si>
    <t>制造部 Manufacturing Dept.</t>
  </si>
  <si>
    <t>2026-01-08 16:14:11+07</t>
  </si>
  <si>
    <t>2026-01-08 16:15:50+07</t>
  </si>
  <si>
    <t>a08c803f-d22d-429f-976a-aa6f4b6dd85e</t>
  </si>
  <si>
    <t>DPT-0004</t>
  </si>
  <si>
    <t>2026-01-08 16:14:16+07</t>
  </si>
  <si>
    <t>2026-01-08 16:15:56+07</t>
  </si>
  <si>
    <t>f8df2fd7-1bd9-410d-8848-214fda29c7bb</t>
  </si>
  <si>
    <t>DPT-0005</t>
  </si>
  <si>
    <t>质保部 Quality Dept</t>
  </si>
  <si>
    <t>2026-01-08 16:14:21+07</t>
  </si>
  <si>
    <t>2026-01-08 16:16:05+07</t>
  </si>
  <si>
    <t>0056a8db-a632-4289-8200-fd47a50b3076</t>
  </si>
  <si>
    <t>DPT-0006</t>
  </si>
  <si>
    <t>2026-01-08 16:14:27+07</t>
  </si>
  <si>
    <t>2026-01-08 16:16:11+07</t>
  </si>
  <si>
    <t>24215ee0-9c9c-4c04-8fa1-3d5b4b726252</t>
  </si>
  <si>
    <t>DPT-0007</t>
  </si>
  <si>
    <t>2026-01-08 16:14:34+07</t>
  </si>
  <si>
    <t>c32a3031-b567-4644-b062-4f5be998dbdc</t>
  </si>
  <si>
    <t>DPT-0008</t>
  </si>
  <si>
    <t>物流部 Logistic Dept.</t>
  </si>
  <si>
    <t>2026-01-08 16:14:39+07</t>
  </si>
  <si>
    <t>2026-01-08 16:16:18+07</t>
  </si>
  <si>
    <t>a9d32223-ee13-4fda-9ff8-6be7a2fbadc7</t>
  </si>
  <si>
    <t>DPT-0009</t>
  </si>
  <si>
    <t>商务部 Business Dept.</t>
  </si>
  <si>
    <t>2026-01-08 16:14:45+07</t>
  </si>
  <si>
    <t>2026-01-08 16:16:27+07</t>
  </si>
  <si>
    <t>2478edec-af5c-45bc-8310-a53cbd46fb30</t>
  </si>
  <si>
    <t>DPT-0010</t>
  </si>
  <si>
    <t>2026-01-08 16:15:05+07</t>
  </si>
  <si>
    <t>dbd2fcb6-1fa7-42ac-acef-b68783717cc6</t>
  </si>
  <si>
    <t>DPT-0011</t>
  </si>
  <si>
    <t>System Operation</t>
  </si>
  <si>
    <t>2026-01-08 16:15:12+07</t>
  </si>
  <si>
    <t>section_id</t>
  </si>
  <si>
    <t>b660835f-bd6c-4684-81d9-714d9d4526b2</t>
  </si>
  <si>
    <t>SCT-0001</t>
  </si>
  <si>
    <t>2026-01-08 16:17:53+07</t>
  </si>
  <si>
    <t>db10c294-aad8-47fa-ba93-234091d1ab92</t>
  </si>
  <si>
    <t>SCT-0002</t>
  </si>
  <si>
    <t>2026-01-08 16:18:01+07</t>
  </si>
  <si>
    <t>cef90d7a-9339-411b-9cfd-46e8cc313b1a</t>
  </si>
  <si>
    <t>SCT-0003</t>
  </si>
  <si>
    <t>2026-01-08 16:18:10+07</t>
  </si>
  <si>
    <t>5fc9324b-415f-4f2f-9841-9594f30bfda6</t>
  </si>
  <si>
    <t>SCT-0004</t>
  </si>
  <si>
    <t>2026-01-08 16:18:17+07</t>
  </si>
  <si>
    <t>ff7bbee4-03ed-4103-9874-e9720306b9be</t>
  </si>
  <si>
    <t>SCT-0005</t>
  </si>
  <si>
    <t>Maintenance</t>
  </si>
  <si>
    <t>2026-01-08 16:18:26+07</t>
  </si>
  <si>
    <t>961c9144-a5dd-4ec0-b3ee-749af5ee4fff</t>
  </si>
  <si>
    <t>SCT-0006</t>
  </si>
  <si>
    <t>2026-01-08 16:18:33+07</t>
  </si>
  <si>
    <t>82e9a230-abfb-4833-963e-db7ed74e2386</t>
  </si>
  <si>
    <t>SCT-0007</t>
  </si>
  <si>
    <t>2026-01-08 16:18:40+07</t>
  </si>
  <si>
    <t>cbb62459-e099-45a7-b2c2-3932a7368c6e</t>
  </si>
  <si>
    <t>SCT-0008</t>
  </si>
  <si>
    <t>2026-01-08 16:18:48+07</t>
  </si>
  <si>
    <t>6f143bbe-0ca4-4b8c-85f4-97798ebcd8a6</t>
  </si>
  <si>
    <t>SCT-0009</t>
  </si>
  <si>
    <t>2026-01-08 16:19:19+07</t>
  </si>
  <si>
    <t>566d3e73-2121-4d08-9745-c5311dc48f1b</t>
  </si>
  <si>
    <t>SCT-0010</t>
  </si>
  <si>
    <t>2026-01-08 16:19:27+07</t>
  </si>
  <si>
    <t>682658b3-a9b5-467b-a263-6a151d60bfca</t>
  </si>
  <si>
    <t>SCT-0011</t>
  </si>
  <si>
    <t>2026-01-08 16:19:35+07</t>
  </si>
  <si>
    <t>0c437abc-7d98-49a8-a489-7063017ec3fe</t>
  </si>
  <si>
    <t>SCT-0012</t>
  </si>
  <si>
    <t>2026-01-08 16:19:43+07</t>
  </si>
  <si>
    <t>888f04d8-c5ba-4587-8552-9c3801ef63f3</t>
  </si>
  <si>
    <t>SCT-0013</t>
  </si>
  <si>
    <t>2026-01-08 16:19:52+07</t>
  </si>
  <si>
    <t>407fe4c3-2159-4ca8-883b-12cd07611bff</t>
  </si>
  <si>
    <t>SCT-0014</t>
  </si>
  <si>
    <t>2026-01-08 16:20:00+07</t>
  </si>
  <si>
    <t>c5323781-7a2c-406f-bcfa-7a09d334c753</t>
  </si>
  <si>
    <t>SCT-0015</t>
  </si>
  <si>
    <t>2026-01-08 16:20:08+07</t>
  </si>
  <si>
    <t>521da8db-33c1-4009-9f6a-77c44505ccc2</t>
  </si>
  <si>
    <t>SCT-0016</t>
  </si>
  <si>
    <t>2026-01-08 16:20:23+07</t>
  </si>
  <si>
    <t>a6211b10-9294-41ad-987d-42109cee9134</t>
  </si>
  <si>
    <t>SCT-0017</t>
  </si>
  <si>
    <t>2026-01-08 16:20:30+07</t>
  </si>
  <si>
    <t>d505e02a-2444-4ced-bb28-89781370009a</t>
  </si>
  <si>
    <t>SCT-0018</t>
  </si>
  <si>
    <t>Mold</t>
  </si>
  <si>
    <t>2026-01-08 16:20:38+07</t>
  </si>
  <si>
    <t>09fd74cb-f1bd-4e54-a3ff-d8b0e502c2bd</t>
  </si>
  <si>
    <t>SCT-0019</t>
  </si>
  <si>
    <t>2026-01-08 16:20:46+07</t>
  </si>
  <si>
    <t>fa5f4235-c12b-4d80-9cdd-773ad4f8f76c</t>
  </si>
  <si>
    <t>SCT-0020</t>
  </si>
  <si>
    <t>Warehouse</t>
  </si>
  <si>
    <t>2026-01-08 16:20:54+07</t>
  </si>
  <si>
    <t>452b7826-802d-4066-a122-6bf04cd5fbbb</t>
  </si>
  <si>
    <t>SCT-0021</t>
  </si>
  <si>
    <t>2026-01-09 15:47:05+07</t>
  </si>
  <si>
    <t>4d0438e3-630e-480c-b012-1ea2196463aa</t>
  </si>
  <si>
    <t>SCT-0022</t>
  </si>
  <si>
    <t>2026-01-09 15:47:13+07</t>
  </si>
  <si>
    <t>294ac4be-4210-409c-8999-4a80c774442e</t>
  </si>
  <si>
    <t>SCT-0023</t>
  </si>
  <si>
    <t>IT</t>
  </si>
  <si>
    <t>2026-01-09 15:47:27+07</t>
  </si>
  <si>
    <t>d1694666-56f8-4777-ab46-5858495cc23b</t>
  </si>
  <si>
    <t>SCT-0024</t>
  </si>
  <si>
    <t>2026-01-09 15:47:44+07</t>
  </si>
  <si>
    <t>019c6fcb-059d-752a-a2ec-12c462b4b44a</t>
  </si>
  <si>
    <t>SCT-0025</t>
  </si>
  <si>
    <t>2026-02-18 15:08:22+07</t>
  </si>
  <si>
    <t>08268640-150b-4c32-8bd9-2afc7f597649</t>
  </si>
  <si>
    <t>EGR-0001</t>
  </si>
  <si>
    <t>2026-01-06 14:57:53+07</t>
  </si>
  <si>
    <t>3720d189-8344-4c84-b2fd-a5d76f64c50f</t>
  </si>
  <si>
    <t>EGR-0002</t>
  </si>
  <si>
    <t>2026-01-06 14:58:05+07</t>
  </si>
  <si>
    <t>f80a7823-a704-4f58-8c91-6381cf4729a7</t>
  </si>
  <si>
    <t>EGR-0003</t>
  </si>
  <si>
    <t>2026-01-06 14:58:15+07</t>
  </si>
  <si>
    <t>c1faa696-3d68-43b9-bc90-a61ccc58abd3</t>
  </si>
  <si>
    <t>EGR-0004</t>
  </si>
  <si>
    <t>2026-01-06 14:58:23+07</t>
  </si>
  <si>
    <t>5ee27c78-aa03-4547-a1f2-b42a6e1bb1db</t>
  </si>
  <si>
    <t>EGR-0005</t>
  </si>
  <si>
    <t>Manager</t>
  </si>
  <si>
    <t>2026-01-06 14:58:31+07</t>
  </si>
  <si>
    <t>c11f555f-62e2-4ffb-9615-a56f6d743f4d</t>
  </si>
  <si>
    <t>EGR-0006</t>
  </si>
  <si>
    <t>2026-01-06 14:58:40+07</t>
  </si>
  <si>
    <t>grade_id</t>
  </si>
  <si>
    <t>rank_id</t>
  </si>
  <si>
    <t>086c928a-6ae8-4464-9609-a1980ff446f0</t>
  </si>
  <si>
    <t>ERK-0001</t>
  </si>
  <si>
    <t>2026-01-07 09:53:51+07</t>
  </si>
  <si>
    <t>1de61e7e-dd28-43b6-aeb9-a9165e956ec1</t>
  </si>
  <si>
    <t>ERK-0002</t>
  </si>
  <si>
    <t>2026-01-07 09:54:01+07</t>
  </si>
  <si>
    <t>a633733d-1c4d-4344-9c64-e182fdb41305</t>
  </si>
  <si>
    <t>ERK-0003</t>
  </si>
  <si>
    <t>2026-01-07 09:54:11+07</t>
  </si>
  <si>
    <t>ab9b84f9-a770-408f-9217-510d080a5055</t>
  </si>
  <si>
    <t>ERK-0004</t>
  </si>
  <si>
    <t>Technician</t>
  </si>
  <si>
    <t>2026-01-07 09:54:21+07</t>
  </si>
  <si>
    <t>5793c653-2a50-4a9d-a36e-892aa1d3b170</t>
  </si>
  <si>
    <t>ERK-0005</t>
  </si>
  <si>
    <t>2026-01-07 09:54:29+07</t>
  </si>
  <si>
    <t>203d0c61-6655-4655-8d60-e895db055eec</t>
  </si>
  <si>
    <t>ERK-0006</t>
  </si>
  <si>
    <t>2026-01-07 09:54:37+07</t>
  </si>
  <si>
    <t>f0122620-db0a-4023-87bf-c991a802be82</t>
  </si>
  <si>
    <t>ERK-0007</t>
  </si>
  <si>
    <t>2026-01-07 09:54:43+07</t>
  </si>
  <si>
    <t>2e24f844-b38d-4b06-bb92-8b2106e530dc</t>
  </si>
  <si>
    <t>ERK-0008</t>
  </si>
  <si>
    <t>2026-01-07 09:54:51+07</t>
  </si>
  <si>
    <t>d2077a67-b150-4275-90c0-c8191357780c</t>
  </si>
  <si>
    <t>ERK-0009</t>
  </si>
  <si>
    <t>2026-01-07 09:54:58+07</t>
  </si>
  <si>
    <t>emp_category_id</t>
  </si>
  <si>
    <t>1a28660d-6784-405c-92cc-d65248bfbfd4</t>
  </si>
  <si>
    <t>ECT0002</t>
  </si>
  <si>
    <t>2026-01-06 16:52:17+07</t>
  </si>
  <si>
    <t>2026-01-06 16:52:48+07</t>
  </si>
  <si>
    <t>be1db140-88b0-4b68-a8be-531940183459</t>
  </si>
  <si>
    <t>ECT0003</t>
  </si>
  <si>
    <t>2026-01-06 16:52:25+07</t>
  </si>
  <si>
    <t>09f6626a-fa13-4fea-a785-01671ff4e85e</t>
  </si>
  <si>
    <t>ECT0001</t>
  </si>
  <si>
    <t>2026-01-06 16:45:32+07</t>
  </si>
  <si>
    <t>2026-01-06 16:53:21+07</t>
  </si>
  <si>
    <t>c0e58049-3a86-427f-834c-6cf11f5430ea</t>
  </si>
  <si>
    <t>CNBHX-0002</t>
  </si>
  <si>
    <t>2026-01-07 10:25:39+07</t>
  </si>
  <si>
    <t>2026-01-07 10:27:07+07</t>
  </si>
  <si>
    <t>ee25ea75-6384-497f-8946-284de122a25f</t>
  </si>
  <si>
    <t>CNBHX-0003</t>
  </si>
  <si>
    <t>2026-01-07 10:25:48+07</t>
  </si>
  <si>
    <t>7799bc59-163d-4f9f-928b-f7ced8ea241b</t>
  </si>
  <si>
    <t>CNBHX-0004</t>
  </si>
  <si>
    <t>2026-01-07 10:25:55+07</t>
  </si>
  <si>
    <t>dd7ddffc-014b-4763-b231-da1b8b8568a5</t>
  </si>
  <si>
    <t>CNBHX-0005</t>
  </si>
  <si>
    <t>2026-01-07 10:26:02+07</t>
  </si>
  <si>
    <t>dda0cc4a-3b78-452d-82f0-2f458f010ce4</t>
  </si>
  <si>
    <t>CNBHX-0006</t>
  </si>
  <si>
    <t>2026-01-07 10:26:09+07</t>
  </si>
  <si>
    <t>39e6af02-a825-470a-ac7d-c6d2ecb57d48</t>
  </si>
  <si>
    <t>CNBHX-0007</t>
  </si>
  <si>
    <t>2026-01-07 10:26:15+07</t>
  </si>
  <si>
    <t>c7eb4185-4029-47d5-9334-04937345a4d6</t>
  </si>
  <si>
    <t>CNBHX-0001</t>
  </si>
  <si>
    <t>2026-01-07 10:25:30+07</t>
  </si>
  <si>
    <t>nbhx_class_id</t>
  </si>
  <si>
    <t>669dd1ca-2a4c-4128-a63f-8ef120f50e02</t>
  </si>
  <si>
    <t>POS-0002</t>
  </si>
  <si>
    <t>Vice General Manager</t>
  </si>
  <si>
    <t>c2d970bc-3249-4f62-948d-0d50d9d5588e</t>
  </si>
  <si>
    <t>2026-01-12 10:44:33+07</t>
  </si>
  <si>
    <t>2026-01-13 09:52:36+07</t>
  </si>
  <si>
    <t>8b97c0dd-b007-47fc-8218-839407dd3f50</t>
  </si>
  <si>
    <t>POS-0011</t>
  </si>
  <si>
    <t>942745ac-02ff-4409-822b-677a97cf117a</t>
  </si>
  <si>
    <t>2026-01-12 10:53:15+07</t>
  </si>
  <si>
    <t>2026-01-13 09:52:43+07</t>
  </si>
  <si>
    <t>ca3690fe-7ace-4fb4-9f5f-d58031b8987d</t>
  </si>
  <si>
    <t>POS-0012</t>
  </si>
  <si>
    <t>2026-01-12 10:55:46+07</t>
  </si>
  <si>
    <t>0a998918-1619-4ab5-8a03-1a3eed9cf2f3</t>
  </si>
  <si>
    <t>POS-0013</t>
  </si>
  <si>
    <t>2026-01-12 10:56:48+07</t>
  </si>
  <si>
    <t>4a4fac80-f714-4213-9b6a-3220975b927d</t>
  </si>
  <si>
    <t>POS-0014</t>
  </si>
  <si>
    <t>Shift Leader Injection C</t>
  </si>
  <si>
    <t>2026-01-12 10:57:46+07</t>
  </si>
  <si>
    <t>725b34f8-7c2d-4eac-b80d-f42d2187f70e</t>
  </si>
  <si>
    <t>POS-0015</t>
  </si>
  <si>
    <t>2026-01-12 10:58:56+07</t>
  </si>
  <si>
    <t>c772963c-22c6-4a70-b408-707d9869e900</t>
  </si>
  <si>
    <t>POS-0016</t>
  </si>
  <si>
    <t>2026-01-12 11:00:05+07</t>
  </si>
  <si>
    <t>e16d0268-2d4f-48ff-8aae-591dc632ae52</t>
  </si>
  <si>
    <t>POS-0017</t>
  </si>
  <si>
    <t>2026-01-12 11:01:50+07</t>
  </si>
  <si>
    <t>a82fd4d9-3efa-4922-b1f6-4863cb5c09bb</t>
  </si>
  <si>
    <t>POS-0018</t>
  </si>
  <si>
    <t>2d22cf03-e3da-4e44-be90-66770884d540</t>
  </si>
  <si>
    <t>2026-01-12 11:02:41+07</t>
  </si>
  <si>
    <t>POS-0003</t>
  </si>
  <si>
    <t>2026-01-12 10:45:17+07</t>
  </si>
  <si>
    <t>a768a360-23cc-48d6-9a43-fb17bb379b7a</t>
  </si>
  <si>
    <t>POS-0004</t>
  </si>
  <si>
    <t>Finance &amp; Accounting Manager</t>
  </si>
  <si>
    <t>2026-01-12 10:46:04+07</t>
  </si>
  <si>
    <t>POS-0005</t>
  </si>
  <si>
    <t>2026-01-12 10:46:48+07</t>
  </si>
  <si>
    <t>7ff2666d-dba4-4ff3-b639-2a3683e5a98b</t>
  </si>
  <si>
    <t>POS-0019</t>
  </si>
  <si>
    <t>bc8fd694-29c1-454e-ba8c-d68f1f977187</t>
  </si>
  <si>
    <t>2026-01-12 13:26:04+07</t>
  </si>
  <si>
    <t>POS-0006</t>
  </si>
  <si>
    <t>2026-01-12 10:47:37+07</t>
  </si>
  <si>
    <t>f14b589b-747b-42cd-988f-07b7432f7d8b</t>
  </si>
  <si>
    <t>POS-0021</t>
  </si>
  <si>
    <t>2026-01-12 13:28:37+07</t>
  </si>
  <si>
    <t>2026-01-13 09:52:47+07</t>
  </si>
  <si>
    <t>77902233-33a1-467d-8554-c8c2507e74ce</t>
  </si>
  <si>
    <t>POS-0022</t>
  </si>
  <si>
    <t>2026-01-12 13:29:46+07</t>
  </si>
  <si>
    <t>086903dc-47a3-4191-9fcb-30cc5e140acf</t>
  </si>
  <si>
    <t>POS-0031</t>
  </si>
  <si>
    <t>2026-01-12 13:52:00+07</t>
  </si>
  <si>
    <t>2026-01-13 09:52:52+07</t>
  </si>
  <si>
    <t>d99c93d3-1c14-4c24-863b-235d00eaee56</t>
  </si>
  <si>
    <t>POS-0007</t>
  </si>
  <si>
    <t>2026-01-12 10:48:16+07</t>
  </si>
  <si>
    <t>f02b722d-ca57-42af-a033-74cb162c708e</t>
  </si>
  <si>
    <t>POS-0008</t>
  </si>
  <si>
    <t>2026-01-12 10:49:05+07</t>
  </si>
  <si>
    <t>5e69f418-a710-425d-a21e-55d638074fa4</t>
  </si>
  <si>
    <t>POS-0009</t>
  </si>
  <si>
    <t>Business &amp; Sales Manager</t>
  </si>
  <si>
    <t>2026-01-12 10:50:03+07</t>
  </si>
  <si>
    <t>4fae55ef-468d-403a-a7ea-3f6f0bf2df2b</t>
  </si>
  <si>
    <t>POS-0010</t>
  </si>
  <si>
    <t>2026-01-12 10:52:03+07</t>
  </si>
  <si>
    <t>POS-0001</t>
  </si>
  <si>
    <t>2026-01-12 10:26:11+07</t>
  </si>
  <si>
    <t>749e3e1d-f8ad-4858-a4e7-bc51b52ef028</t>
  </si>
  <si>
    <t>POS-0020</t>
  </si>
  <si>
    <t>2026-01-12 13:27:33+07</t>
  </si>
  <si>
    <t>dc0cf930-f332-44fb-b70d-d0d38d45a75a</t>
  </si>
  <si>
    <t>POS-0023</t>
  </si>
  <si>
    <t>2026-01-12 13:30:45+07</t>
  </si>
  <si>
    <t>005f2520-2bbd-4f72-9458-8ce7c7c2c524</t>
  </si>
  <si>
    <t>POS-0024</t>
  </si>
  <si>
    <t xml:space="preserve">Leader Assistant </t>
  </si>
  <si>
    <t>2026-01-12 13:31:54+07</t>
  </si>
  <si>
    <t>d2b789a9-2ae2-4768-9bf2-6675c9cc8c18</t>
  </si>
  <si>
    <t>POS-0025</t>
  </si>
  <si>
    <t>Leader Assistant B</t>
  </si>
  <si>
    <t>2026-01-12 13:37:50+07</t>
  </si>
  <si>
    <t>b4bc5c77-a0c2-4c8e-abf5-d286360047e4</t>
  </si>
  <si>
    <t>POS-0026</t>
  </si>
  <si>
    <t>Leader Assistant C</t>
  </si>
  <si>
    <t>2026-01-12 13:38:46+07</t>
  </si>
  <si>
    <t>27c237d7-521b-4073-842a-25548ae50304</t>
  </si>
  <si>
    <t>POS-0027</t>
  </si>
  <si>
    <t xml:space="preserve">Group Leader Injection </t>
  </si>
  <si>
    <t>2026-01-12 13:41:04+07</t>
  </si>
  <si>
    <t>c8fc6bb2-2ebf-4e03-869e-f07817e2c22f</t>
  </si>
  <si>
    <t>POS-0028</t>
  </si>
  <si>
    <t>2026-01-12 13:42:02+07</t>
  </si>
  <si>
    <t>73734a67-7b77-4195-8d7f-472776cc3011</t>
  </si>
  <si>
    <t>POS-0029</t>
  </si>
  <si>
    <t xml:space="preserve">Group Leader Assembly </t>
  </si>
  <si>
    <t>2026-01-12 13:50:15+07</t>
  </si>
  <si>
    <t>7069485a-0875-49d8-9d85-1f672b4f56b4</t>
  </si>
  <si>
    <t>POS-0030</t>
  </si>
  <si>
    <t>2026-01-12 13:51:08+07</t>
  </si>
  <si>
    <t>312535e7-65c1-4baf-9b08-df8f0d282c02</t>
  </si>
  <si>
    <t>POS-0032</t>
  </si>
  <si>
    <t>2026-02-05 15:20:05+07</t>
  </si>
  <si>
    <t>019c6f90-666b-7bf8-9aea-08d3c2123862</t>
  </si>
  <si>
    <t>POS-0033</t>
  </si>
  <si>
    <t>Sales Staff</t>
  </si>
  <si>
    <t>2026-02-18 14:04:20+07</t>
  </si>
  <si>
    <t>019c6f91-f6d0-7a7e-a8ff-a52e31db136a</t>
  </si>
  <si>
    <t>POS-0034</t>
  </si>
  <si>
    <t>Production Engineer</t>
  </si>
  <si>
    <t>2026-02-18 14:06:02+07</t>
  </si>
  <si>
    <t>019c6f93-a52c-7357-84dc-51003e72d043</t>
  </si>
  <si>
    <t>POS-0035</t>
  </si>
  <si>
    <t>2026-02-18 14:07:53+07</t>
  </si>
  <si>
    <t>019c6f95-0053-742b-a0a6-f8f4e0417448</t>
  </si>
  <si>
    <t>POS-0036</t>
  </si>
  <si>
    <t>Planner Admin</t>
  </si>
  <si>
    <t>2026-02-18 14:09:21+07</t>
  </si>
  <si>
    <t>019c6f96-275a-78ae-84f9-472e9a5eb723</t>
  </si>
  <si>
    <t>POS-0037</t>
  </si>
  <si>
    <t>2026-02-18 14:10:37+07</t>
  </si>
  <si>
    <t>019c6f97-5429-70e4-b805-a2a3457a03fe</t>
  </si>
  <si>
    <t>POS-0038</t>
  </si>
  <si>
    <t>Lead ME</t>
  </si>
  <si>
    <t>2026-02-18 14:11:54+07</t>
  </si>
  <si>
    <t>019c6f98-5efd-7951-b13e-53f647bc6d55</t>
  </si>
  <si>
    <t>POS-0039</t>
  </si>
  <si>
    <t>Plant Maintenance Expert</t>
  </si>
  <si>
    <t>2026-02-18 14:13:02+07</t>
  </si>
  <si>
    <t>019c6f99-8cc0-730e-90ce-00f42457e823</t>
  </si>
  <si>
    <t>POS-0040</t>
  </si>
  <si>
    <t>Preventive Maintenance Staff</t>
  </si>
  <si>
    <t>2026-02-18 14:14:19+07</t>
  </si>
  <si>
    <t>019c6f9a-ae5f-77a9-9707-299a449874fb</t>
  </si>
  <si>
    <t>POS-0041</t>
  </si>
  <si>
    <t>2026-02-18 14:15:34+07</t>
  </si>
  <si>
    <t>019c6f9b-cb95-7c46-91fc-0060bd576a7b</t>
  </si>
  <si>
    <t>POS-0042</t>
  </si>
  <si>
    <t>GL Mold Technician</t>
  </si>
  <si>
    <t>2026-02-18 14:16:47+07</t>
  </si>
  <si>
    <t>019c6f9d-f600-7bf4-a622-1345f9ee911c</t>
  </si>
  <si>
    <t>POS-0043</t>
  </si>
  <si>
    <t>Mold Worker</t>
  </si>
  <si>
    <t>2026-02-18 14:19:09+07</t>
  </si>
  <si>
    <t>019c6f9f-b295-7c3d-b4f5-d7993a26cb93</t>
  </si>
  <si>
    <t>POS-0044</t>
  </si>
  <si>
    <t>Production Operator</t>
  </si>
  <si>
    <t>2026-02-18 14:21:02+07</t>
  </si>
  <si>
    <t>019c6fa1-1a59-7341-bee6-cf838913021f</t>
  </si>
  <si>
    <t>POS-0045</t>
  </si>
  <si>
    <t>Mover Injection C</t>
  </si>
  <si>
    <t>2026-02-18 14:22:34+07</t>
  </si>
  <si>
    <t>019c6fa2-701c-7fd2-9ad7-f6304a1ef871</t>
  </si>
  <si>
    <t>POS-0046</t>
  </si>
  <si>
    <t>Operator Assembly A</t>
  </si>
  <si>
    <t>2026-02-18 14:24:02+07</t>
  </si>
  <si>
    <t>019c6fa3-6bce-7331-b8d7-100410c00355</t>
  </si>
  <si>
    <t>POS-0047</t>
  </si>
  <si>
    <t>Final Inspector</t>
  </si>
  <si>
    <t>2026-02-18 14:25:06+07</t>
  </si>
  <si>
    <t>019c6fa5-5eb8-7167-84af-574849f12edc</t>
  </si>
  <si>
    <t>POS-0048</t>
  </si>
  <si>
    <t>Mover FI</t>
  </si>
  <si>
    <t>2026-02-18 14:27:14+07</t>
  </si>
  <si>
    <t>019c6fa7-4a44-7c10-a44a-c2e5e50e904f</t>
  </si>
  <si>
    <t>POS-0049</t>
  </si>
  <si>
    <t>Finance Supervisor</t>
  </si>
  <si>
    <t>2026-02-18 14:29:20+07</t>
  </si>
  <si>
    <t>019c6fa8-410c-7163-8657-532c5ada5852</t>
  </si>
  <si>
    <t>POS-0050</t>
  </si>
  <si>
    <t>Finance Staff</t>
  </si>
  <si>
    <t>2026-02-18 14:30:23+07</t>
  </si>
  <si>
    <t>019c6fad-8fa5-746f-b553-e00aa21774d3</t>
  </si>
  <si>
    <t>POS-0051</t>
  </si>
  <si>
    <t>Recruitment Staff</t>
  </si>
  <si>
    <t>2026-02-18 14:36:11+07</t>
  </si>
  <si>
    <t>019c6fae-ccea-70fd-b0b1-3c6b0d907398</t>
  </si>
  <si>
    <t>POS-0052</t>
  </si>
  <si>
    <t>Training Specialist</t>
  </si>
  <si>
    <t>2026-02-18 14:37:32+07</t>
  </si>
  <si>
    <t>019c6fb0-c0ad-7559-848f-e17ccb81c9ca</t>
  </si>
  <si>
    <t>POS-0053</t>
  </si>
  <si>
    <t>Sales Analyst</t>
  </si>
  <si>
    <t>2026-02-18 14:39:40+07</t>
  </si>
  <si>
    <t>019c6fb2-2665-71bf-ad06-ec92590d4acd</t>
  </si>
  <si>
    <t>POS-0054</t>
  </si>
  <si>
    <t>Training Staff</t>
  </si>
  <si>
    <t>2026-02-18 14:41:12+07</t>
  </si>
  <si>
    <t>019c6fb2-efe8-72da-95fb-bf168718f3a8</t>
  </si>
  <si>
    <t>POS-0055</t>
  </si>
  <si>
    <t>Payroll Staff</t>
  </si>
  <si>
    <t>2026-02-18 14:42:03+07</t>
  </si>
  <si>
    <t>019c6fb3-f51a-78c1-b6e7-52255bb068c5</t>
  </si>
  <si>
    <t>POS-0056</t>
  </si>
  <si>
    <t>2026-02-18 14:43:10+07</t>
  </si>
  <si>
    <t>019c6fb5-597d-7b00-a86f-7761b78d3436</t>
  </si>
  <si>
    <t>POS-0057</t>
  </si>
  <si>
    <t>Building Facility Coordinator</t>
  </si>
  <si>
    <t>2026-02-18 14:44:41+07</t>
  </si>
  <si>
    <t>019c6fb6-3406-7411-9afa-9d3c91e3370d</t>
  </si>
  <si>
    <t>POS-0058</t>
  </si>
  <si>
    <t>2026-02-18 14:45:37+07</t>
  </si>
  <si>
    <t>019c6fb7-61d5-7a41-9cff-28dad4094e50</t>
  </si>
  <si>
    <t>POS-0059</t>
  </si>
  <si>
    <t>IT Staff</t>
  </si>
  <si>
    <t>2026-02-18 14:46:55+07</t>
  </si>
  <si>
    <t>019c6fb9-a744-78ce-a374-980d17cce30b</t>
  </si>
  <si>
    <t>POS-0060</t>
  </si>
  <si>
    <t>2026-02-18 14:49:23+07</t>
  </si>
  <si>
    <t>POS-0073</t>
  </si>
  <si>
    <t>POS-0074</t>
  </si>
  <si>
    <t>POS-0075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</si>
</sst>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BAC0-0774-4FB9-8757-241A25A43B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F7D4-7604-4835-B2BA-CD27C5C44C09}">
  <dimension ref="B1:Y143"/>
  <sheetViews>
    <sheetView tabSelected="1" topLeftCell="E49" workbookViewId="0">
      <selection activeCell="H74" sqref="H74"/>
    </sheetView>
  </sheetViews>
  <sheetFormatPr defaultRowHeight="15" x14ac:dyDescent="0.25"/>
  <cols>
    <col min="2" max="2" width="13.5703125" bestFit="1" customWidth="1"/>
    <col min="3" max="3" width="29.140625" bestFit="1" customWidth="1"/>
    <col min="4" max="4" width="9.28515625" bestFit="1" customWidth="1"/>
    <col min="5" max="5" width="58.28515625" bestFit="1" customWidth="1"/>
    <col min="6" max="6" width="38.140625" bestFit="1" customWidth="1"/>
    <col min="7" max="7" width="26.28515625" bestFit="1" customWidth="1"/>
    <col min="8" max="8" width="38" bestFit="1" customWidth="1"/>
    <col min="9" max="9" width="24.7109375" bestFit="1" customWidth="1"/>
    <col min="10" max="10" width="38" bestFit="1" customWidth="1"/>
    <col min="11" max="11" width="14.7109375" bestFit="1" customWidth="1"/>
    <col min="12" max="12" width="27.85546875" bestFit="1" customWidth="1"/>
    <col min="13" max="13" width="37.42578125" bestFit="1" customWidth="1"/>
    <col min="14" max="14" width="20.7109375" bestFit="1" customWidth="1"/>
    <col min="15" max="15" width="37.5703125" bestFit="1" customWidth="1"/>
    <col min="16" max="16" width="16.140625" bestFit="1" customWidth="1"/>
    <col min="17" max="17" width="37" bestFit="1" customWidth="1"/>
    <col min="18" max="18" width="19.42578125" bestFit="1" customWidth="1"/>
    <col min="19" max="19" width="35.140625" bestFit="1" customWidth="1"/>
    <col min="20" max="20" width="26.5703125" bestFit="1" customWidth="1"/>
    <col min="21" max="21" width="26.5703125" customWidth="1"/>
    <col min="22" max="22" width="6.42578125" bestFit="1" customWidth="1"/>
    <col min="23" max="23" width="12.42578125" bestFit="1" customWidth="1"/>
    <col min="24" max="24" width="13.85546875" bestFit="1" customWidth="1"/>
    <col min="25" max="25" width="12.85546875" bestFit="1" customWidth="1"/>
  </cols>
  <sheetData>
    <row r="1" spans="2:25" x14ac:dyDescent="0.25">
      <c r="B1" t="s">
        <v>0</v>
      </c>
      <c r="C1" t="s">
        <v>1</v>
      </c>
      <c r="D1" t="s">
        <v>2</v>
      </c>
      <c r="E1" t="s">
        <v>3</v>
      </c>
      <c r="F1" t="s">
        <v>581</v>
      </c>
      <c r="G1" t="s">
        <v>4</v>
      </c>
      <c r="H1" t="s">
        <v>582</v>
      </c>
      <c r="I1" t="s">
        <v>5</v>
      </c>
      <c r="J1" t="s">
        <v>630</v>
      </c>
      <c r="K1" t="s">
        <v>6</v>
      </c>
      <c r="L1" t="s">
        <v>7</v>
      </c>
      <c r="N1" t="s">
        <v>8</v>
      </c>
      <c r="O1" t="s">
        <v>729</v>
      </c>
      <c r="P1" t="s">
        <v>9</v>
      </c>
      <c r="Q1" t="s">
        <v>730</v>
      </c>
      <c r="R1" t="s">
        <v>10</v>
      </c>
      <c r="S1" t="s">
        <v>759</v>
      </c>
      <c r="T1" t="s">
        <v>11</v>
      </c>
      <c r="U1" t="s">
        <v>793</v>
      </c>
      <c r="V1" t="s">
        <v>12</v>
      </c>
      <c r="W1" t="s">
        <v>13</v>
      </c>
      <c r="X1" t="s">
        <v>14</v>
      </c>
      <c r="Y1" t="s">
        <v>15</v>
      </c>
    </row>
    <row r="2" spans="2:25" x14ac:dyDescent="0.25">
      <c r="B2" t="s">
        <v>16</v>
      </c>
      <c r="C2" t="s">
        <v>17</v>
      </c>
      <c r="D2" t="s">
        <v>18</v>
      </c>
      <c r="E2" t="s">
        <v>19</v>
      </c>
      <c r="F2" t="s">
        <v>515</v>
      </c>
      <c r="G2" t="s">
        <v>20</v>
      </c>
      <c r="H2" t="s">
        <v>588</v>
      </c>
      <c r="I2" t="s">
        <v>21</v>
      </c>
      <c r="J2" t="s">
        <v>694</v>
      </c>
      <c r="K2" t="s">
        <v>22</v>
      </c>
      <c r="L2" t="s">
        <v>23</v>
      </c>
      <c r="M2" t="str">
        <f>_xlfn.XLOOKUP(L2,Sheet11!C:C,Sheet11!A:A,"")</f>
        <v>2d22cf03-e3da-4e44-be90-66770884d540</v>
      </c>
      <c r="N2" t="s">
        <v>24</v>
      </c>
      <c r="O2" t="s">
        <v>716</v>
      </c>
      <c r="P2" t="s">
        <v>25</v>
      </c>
      <c r="Q2" t="s">
        <v>737</v>
      </c>
      <c r="R2" t="s">
        <v>26</v>
      </c>
      <c r="S2" t="str">
        <f>_xlfn.XLOOKUP(R2,Sheet8!C:C,Sheet8!A:A,"")</f>
        <v>09f6626a-fa13-4fea-a785-01671ff4e85e</v>
      </c>
      <c r="T2" t="s">
        <v>27</v>
      </c>
      <c r="U2" t="s">
        <v>790</v>
      </c>
      <c r="V2">
        <v>1</v>
      </c>
      <c r="W2">
        <v>1</v>
      </c>
      <c r="X2">
        <v>1</v>
      </c>
      <c r="Y2" s="1">
        <v>44641</v>
      </c>
    </row>
    <row r="3" spans="2:25" x14ac:dyDescent="0.25">
      <c r="B3" t="s">
        <v>28</v>
      </c>
      <c r="C3" t="s">
        <v>29</v>
      </c>
      <c r="D3" t="s">
        <v>30</v>
      </c>
      <c r="E3" t="s">
        <v>31</v>
      </c>
      <c r="F3" t="s">
        <v>551</v>
      </c>
      <c r="G3" t="s">
        <v>31</v>
      </c>
      <c r="H3" t="s">
        <v>610</v>
      </c>
      <c r="I3" t="s">
        <v>32</v>
      </c>
      <c r="J3" t="s">
        <v>668</v>
      </c>
      <c r="K3" t="s">
        <v>22</v>
      </c>
      <c r="L3" t="s">
        <v>33</v>
      </c>
      <c r="M3" t="str">
        <f>_xlfn.XLOOKUP(L3,Sheet11!C:C,Sheet11!A:A,"")</f>
        <v/>
      </c>
      <c r="N3" t="s">
        <v>24</v>
      </c>
      <c r="O3" t="s">
        <v>716</v>
      </c>
      <c r="P3" t="s">
        <v>25</v>
      </c>
      <c r="Q3" t="s">
        <v>737</v>
      </c>
      <c r="R3" t="s">
        <v>26</v>
      </c>
      <c r="S3" t="str">
        <f>_xlfn.XLOOKUP(R3,Sheet8!C:C,Sheet8!A:A,"")</f>
        <v>09f6626a-fa13-4fea-a785-01671ff4e85e</v>
      </c>
      <c r="T3" t="s">
        <v>27</v>
      </c>
      <c r="U3" t="s">
        <v>790</v>
      </c>
      <c r="V3">
        <v>1</v>
      </c>
      <c r="W3">
        <v>1</v>
      </c>
      <c r="X3">
        <v>1</v>
      </c>
      <c r="Y3" s="1">
        <v>42736</v>
      </c>
    </row>
    <row r="4" spans="2:25" x14ac:dyDescent="0.25">
      <c r="B4" t="s">
        <v>34</v>
      </c>
      <c r="C4" t="s">
        <v>35</v>
      </c>
      <c r="D4" t="s">
        <v>36</v>
      </c>
      <c r="E4" t="s">
        <v>543</v>
      </c>
      <c r="F4" t="s">
        <v>541</v>
      </c>
      <c r="G4" t="s">
        <v>37</v>
      </c>
      <c r="H4" t="s">
        <v>613</v>
      </c>
      <c r="I4" t="s">
        <v>38</v>
      </c>
      <c r="J4" t="s">
        <v>659</v>
      </c>
      <c r="K4" t="s">
        <v>22</v>
      </c>
      <c r="L4" t="s">
        <v>39</v>
      </c>
      <c r="M4" t="str">
        <f>_xlfn.XLOOKUP(L4,Sheet11!C:C,Sheet11!A:A,"")</f>
        <v>bc8fd694-29c1-454e-ba8c-d68f1f977187</v>
      </c>
      <c r="N4" t="s">
        <v>24</v>
      </c>
      <c r="O4" t="s">
        <v>716</v>
      </c>
      <c r="P4" t="s">
        <v>40</v>
      </c>
      <c r="Q4" t="s">
        <v>750</v>
      </c>
      <c r="R4" t="s">
        <v>26</v>
      </c>
      <c r="S4" t="str">
        <f>_xlfn.XLOOKUP(R4,Sheet8!C:C,Sheet8!A:A,"")</f>
        <v>09f6626a-fa13-4fea-a785-01671ff4e85e</v>
      </c>
      <c r="T4" t="s">
        <v>27</v>
      </c>
      <c r="U4" t="s">
        <v>790</v>
      </c>
      <c r="V4">
        <v>1</v>
      </c>
      <c r="W4">
        <v>1</v>
      </c>
      <c r="X4">
        <v>0</v>
      </c>
      <c r="Y4" s="1">
        <v>44564</v>
      </c>
    </row>
    <row r="5" spans="2:25" x14ac:dyDescent="0.25">
      <c r="B5" t="s">
        <v>41</v>
      </c>
      <c r="C5" t="s">
        <v>42</v>
      </c>
      <c r="D5" t="s">
        <v>43</v>
      </c>
      <c r="E5" t="s">
        <v>19</v>
      </c>
      <c r="F5" t="s">
        <v>515</v>
      </c>
      <c r="G5" t="s">
        <v>20</v>
      </c>
      <c r="H5" t="s">
        <v>588</v>
      </c>
      <c r="I5" t="s">
        <v>21</v>
      </c>
      <c r="J5" t="s">
        <v>694</v>
      </c>
      <c r="K5" t="s">
        <v>22</v>
      </c>
      <c r="L5" t="s">
        <v>23</v>
      </c>
      <c r="M5" t="str">
        <f>_xlfn.XLOOKUP(L5,Sheet11!C:C,Sheet11!A:A,"")</f>
        <v>2d22cf03-e3da-4e44-be90-66770884d540</v>
      </c>
      <c r="N5" t="s">
        <v>44</v>
      </c>
      <c r="O5" t="s">
        <v>719</v>
      </c>
      <c r="P5" t="s">
        <v>40</v>
      </c>
      <c r="Q5" t="s">
        <v>750</v>
      </c>
      <c r="R5" t="s">
        <v>26</v>
      </c>
      <c r="S5" t="str">
        <f>_xlfn.XLOOKUP(R5,Sheet8!C:C,Sheet8!A:A,"")</f>
        <v>09f6626a-fa13-4fea-a785-01671ff4e85e</v>
      </c>
      <c r="T5" t="s">
        <v>27</v>
      </c>
      <c r="U5" t="s">
        <v>790</v>
      </c>
      <c r="V5">
        <v>1</v>
      </c>
      <c r="W5">
        <v>1</v>
      </c>
      <c r="X5">
        <v>0</v>
      </c>
      <c r="Y5" s="1">
        <v>44490</v>
      </c>
    </row>
    <row r="6" spans="2:25" x14ac:dyDescent="0.25">
      <c r="B6" t="s">
        <v>45</v>
      </c>
      <c r="C6" t="s">
        <v>46</v>
      </c>
      <c r="D6" t="s">
        <v>47</v>
      </c>
      <c r="E6" t="s">
        <v>48</v>
      </c>
      <c r="F6" t="s">
        <v>466</v>
      </c>
      <c r="G6" t="s">
        <v>49</v>
      </c>
      <c r="H6" t="s">
        <v>592</v>
      </c>
      <c r="I6" t="s">
        <v>50</v>
      </c>
      <c r="J6" t="s">
        <v>640</v>
      </c>
      <c r="K6" t="s">
        <v>22</v>
      </c>
      <c r="L6" t="s">
        <v>51</v>
      </c>
      <c r="M6" t="str">
        <f>_xlfn.XLOOKUP(L6,Sheet11!C:C,Sheet11!A:A,"")</f>
        <v>942745ac-02ff-4409-822b-677a97cf117a</v>
      </c>
      <c r="N6" t="s">
        <v>44</v>
      </c>
      <c r="O6" t="s">
        <v>719</v>
      </c>
      <c r="P6" t="s">
        <v>40</v>
      </c>
      <c r="Q6" t="s">
        <v>750</v>
      </c>
      <c r="R6" t="s">
        <v>26</v>
      </c>
      <c r="S6" t="str">
        <f>_xlfn.XLOOKUP(R6,Sheet8!C:C,Sheet8!A:A,"")</f>
        <v>09f6626a-fa13-4fea-a785-01671ff4e85e</v>
      </c>
      <c r="T6" t="s">
        <v>27</v>
      </c>
      <c r="U6" t="s">
        <v>790</v>
      </c>
      <c r="V6">
        <v>1</v>
      </c>
      <c r="W6">
        <v>1</v>
      </c>
      <c r="X6">
        <v>0</v>
      </c>
      <c r="Y6" s="1">
        <v>46023</v>
      </c>
    </row>
    <row r="7" spans="2:25" x14ac:dyDescent="0.25">
      <c r="B7" t="s">
        <v>52</v>
      </c>
      <c r="C7" t="s">
        <v>53</v>
      </c>
      <c r="D7" t="s">
        <v>54</v>
      </c>
      <c r="E7" t="s">
        <v>48</v>
      </c>
      <c r="F7" t="s">
        <v>466</v>
      </c>
      <c r="G7" t="s">
        <v>49</v>
      </c>
      <c r="H7" t="s">
        <v>592</v>
      </c>
      <c r="I7" t="s">
        <v>50</v>
      </c>
      <c r="J7" t="s">
        <v>640</v>
      </c>
      <c r="K7" t="s">
        <v>22</v>
      </c>
      <c r="L7" t="s">
        <v>51</v>
      </c>
      <c r="M7" t="str">
        <f>_xlfn.XLOOKUP(L7,Sheet11!C:C,Sheet11!A:A,"")</f>
        <v>942745ac-02ff-4409-822b-677a97cf117a</v>
      </c>
      <c r="N7" t="s">
        <v>44</v>
      </c>
      <c r="O7" t="s">
        <v>719</v>
      </c>
      <c r="P7" t="s">
        <v>40</v>
      </c>
      <c r="Q7" t="s">
        <v>750</v>
      </c>
      <c r="R7" t="s">
        <v>26</v>
      </c>
      <c r="S7" t="str">
        <f>_xlfn.XLOOKUP(R7,Sheet8!C:C,Sheet8!A:A,"")</f>
        <v>09f6626a-fa13-4fea-a785-01671ff4e85e</v>
      </c>
      <c r="T7" t="s">
        <v>27</v>
      </c>
      <c r="U7" t="s">
        <v>790</v>
      </c>
      <c r="V7">
        <v>1</v>
      </c>
      <c r="W7">
        <v>1</v>
      </c>
      <c r="X7">
        <v>0</v>
      </c>
      <c r="Y7" s="1">
        <v>46023</v>
      </c>
    </row>
    <row r="8" spans="2:25" x14ac:dyDescent="0.25">
      <c r="B8" t="s">
        <v>55</v>
      </c>
      <c r="C8" t="s">
        <v>56</v>
      </c>
      <c r="D8" t="s">
        <v>57</v>
      </c>
      <c r="E8" t="s">
        <v>559</v>
      </c>
      <c r="F8" t="s">
        <v>557</v>
      </c>
      <c r="G8" t="s">
        <v>58</v>
      </c>
      <c r="H8" t="s">
        <v>606</v>
      </c>
      <c r="I8" t="s">
        <v>59</v>
      </c>
      <c r="J8" t="s">
        <v>674</v>
      </c>
      <c r="K8" t="s">
        <v>22</v>
      </c>
      <c r="L8" t="s">
        <v>60</v>
      </c>
      <c r="M8" t="str">
        <f>_xlfn.XLOOKUP(L8,Sheet11!C:C,Sheet11!A:A,"")</f>
        <v>f02b722d-ca57-42af-a033-74cb162c708e</v>
      </c>
      <c r="N8" t="s">
        <v>44</v>
      </c>
      <c r="O8" t="s">
        <v>719</v>
      </c>
      <c r="P8" t="s">
        <v>40</v>
      </c>
      <c r="Q8" t="s">
        <v>750</v>
      </c>
      <c r="R8" t="s">
        <v>26</v>
      </c>
      <c r="S8" t="str">
        <f>_xlfn.XLOOKUP(R8,Sheet8!C:C,Sheet8!A:A,"")</f>
        <v>09f6626a-fa13-4fea-a785-01671ff4e85e</v>
      </c>
      <c r="T8" t="s">
        <v>27</v>
      </c>
      <c r="U8" t="s">
        <v>790</v>
      </c>
      <c r="V8">
        <v>1</v>
      </c>
      <c r="W8">
        <v>1</v>
      </c>
      <c r="X8">
        <v>0</v>
      </c>
      <c r="Y8" s="1">
        <v>44490</v>
      </c>
    </row>
    <row r="9" spans="2:25" x14ac:dyDescent="0.25">
      <c r="B9" t="s">
        <v>61</v>
      </c>
      <c r="C9" t="s">
        <v>62</v>
      </c>
      <c r="D9" t="s">
        <v>63</v>
      </c>
      <c r="E9" t="s">
        <v>559</v>
      </c>
      <c r="F9" t="s">
        <v>557</v>
      </c>
      <c r="G9" t="s">
        <v>58</v>
      </c>
      <c r="H9" t="s">
        <v>606</v>
      </c>
      <c r="I9" t="s">
        <v>59</v>
      </c>
      <c r="J9" t="s">
        <v>674</v>
      </c>
      <c r="K9" t="s">
        <v>22</v>
      </c>
      <c r="L9" t="s">
        <v>60</v>
      </c>
      <c r="M9" t="str">
        <f>_xlfn.XLOOKUP(L9,Sheet11!C:C,Sheet11!A:A,"")</f>
        <v>f02b722d-ca57-42af-a033-74cb162c708e</v>
      </c>
      <c r="N9" t="s">
        <v>44</v>
      </c>
      <c r="O9" t="s">
        <v>719</v>
      </c>
      <c r="P9" t="s">
        <v>40</v>
      </c>
      <c r="Q9" t="s">
        <v>750</v>
      </c>
      <c r="R9" t="s">
        <v>26</v>
      </c>
      <c r="S9" t="str">
        <f>_xlfn.XLOOKUP(R9,Sheet8!C:C,Sheet8!A:A,"")</f>
        <v>09f6626a-fa13-4fea-a785-01671ff4e85e</v>
      </c>
      <c r="T9" t="s">
        <v>27</v>
      </c>
      <c r="U9" t="s">
        <v>790</v>
      </c>
      <c r="V9">
        <v>1</v>
      </c>
      <c r="W9">
        <v>1</v>
      </c>
      <c r="X9">
        <v>0</v>
      </c>
      <c r="Y9" s="1">
        <v>42736</v>
      </c>
    </row>
    <row r="10" spans="2:25" x14ac:dyDescent="0.25">
      <c r="B10" t="s">
        <v>64</v>
      </c>
      <c r="C10" t="s">
        <v>33</v>
      </c>
      <c r="D10" t="s">
        <v>65</v>
      </c>
      <c r="E10" t="s">
        <v>48</v>
      </c>
      <c r="F10" t="s">
        <v>466</v>
      </c>
      <c r="G10" t="s">
        <v>31</v>
      </c>
      <c r="H10" t="s">
        <v>610</v>
      </c>
      <c r="I10" t="s">
        <v>32</v>
      </c>
      <c r="J10" t="s">
        <v>668</v>
      </c>
      <c r="K10" t="s">
        <v>22</v>
      </c>
      <c r="L10" t="s">
        <v>66</v>
      </c>
      <c r="M10" t="str">
        <f>_xlfn.XLOOKUP(L10,Sheet11!C:C,Sheet11!A:A,"")</f>
        <v>c2d970bc-3249-4f62-948d-0d50d9d5588e</v>
      </c>
      <c r="N10" t="s">
        <v>44</v>
      </c>
      <c r="O10" t="s">
        <v>719</v>
      </c>
      <c r="P10" t="s">
        <v>40</v>
      </c>
      <c r="Q10" t="s">
        <v>750</v>
      </c>
      <c r="R10" t="s">
        <v>26</v>
      </c>
      <c r="S10" t="str">
        <f>_xlfn.XLOOKUP(R10,Sheet8!C:C,Sheet8!A:A,"")</f>
        <v>09f6626a-fa13-4fea-a785-01671ff4e85e</v>
      </c>
      <c r="T10" t="s">
        <v>27</v>
      </c>
      <c r="U10" t="s">
        <v>790</v>
      </c>
      <c r="V10">
        <v>1</v>
      </c>
      <c r="W10">
        <v>1</v>
      </c>
      <c r="X10">
        <v>0</v>
      </c>
      <c r="Y10" s="1">
        <v>44595</v>
      </c>
    </row>
    <row r="11" spans="2:25" x14ac:dyDescent="0.25">
      <c r="B11" t="s">
        <v>67</v>
      </c>
      <c r="C11" t="s">
        <v>68</v>
      </c>
      <c r="D11" t="s">
        <v>69</v>
      </c>
      <c r="E11" t="s">
        <v>70</v>
      </c>
      <c r="F11" t="s">
        <v>548</v>
      </c>
      <c r="G11" t="s">
        <v>31</v>
      </c>
      <c r="H11" t="s">
        <v>610</v>
      </c>
      <c r="I11" t="s">
        <v>32</v>
      </c>
      <c r="J11" t="s">
        <v>668</v>
      </c>
      <c r="K11" t="s">
        <v>22</v>
      </c>
      <c r="L11" t="s">
        <v>33</v>
      </c>
      <c r="M11" t="str">
        <f>_xlfn.XLOOKUP(L11,Sheet11!C:C,Sheet11!A:A,"")</f>
        <v/>
      </c>
      <c r="N11" t="s">
        <v>44</v>
      </c>
      <c r="O11" t="s">
        <v>719</v>
      </c>
      <c r="P11" t="s">
        <v>40</v>
      </c>
      <c r="Q11" t="s">
        <v>750</v>
      </c>
      <c r="R11" t="s">
        <v>26</v>
      </c>
      <c r="S11" t="str">
        <f>_xlfn.XLOOKUP(R11,Sheet8!C:C,Sheet8!A:A,"")</f>
        <v>09f6626a-fa13-4fea-a785-01671ff4e85e</v>
      </c>
      <c r="T11" t="s">
        <v>27</v>
      </c>
      <c r="U11" t="s">
        <v>790</v>
      </c>
      <c r="V11">
        <v>1</v>
      </c>
      <c r="W11">
        <v>1</v>
      </c>
      <c r="X11">
        <v>0</v>
      </c>
      <c r="Y11" s="1">
        <v>44490</v>
      </c>
    </row>
    <row r="12" spans="2:25" x14ac:dyDescent="0.25">
      <c r="B12" t="s">
        <v>71</v>
      </c>
      <c r="C12" t="s">
        <v>72</v>
      </c>
      <c r="D12" t="s">
        <v>73</v>
      </c>
      <c r="E12" t="s">
        <v>48</v>
      </c>
      <c r="F12" t="s">
        <v>466</v>
      </c>
      <c r="G12" t="s">
        <v>37</v>
      </c>
      <c r="H12" t="s">
        <v>613</v>
      </c>
      <c r="I12" t="s">
        <v>74</v>
      </c>
      <c r="J12" t="s">
        <v>662</v>
      </c>
      <c r="K12" t="s">
        <v>22</v>
      </c>
      <c r="L12" t="s">
        <v>39</v>
      </c>
      <c r="M12" t="str">
        <f>_xlfn.XLOOKUP(L12,Sheet11!C:C,Sheet11!A:A,"")</f>
        <v>bc8fd694-29c1-454e-ba8c-d68f1f977187</v>
      </c>
      <c r="N12" t="s">
        <v>44</v>
      </c>
      <c r="O12" t="s">
        <v>719</v>
      </c>
      <c r="P12" t="s">
        <v>40</v>
      </c>
      <c r="Q12" t="s">
        <v>750</v>
      </c>
      <c r="R12" t="s">
        <v>26</v>
      </c>
      <c r="S12" t="str">
        <f>_xlfn.XLOOKUP(R12,Sheet8!C:C,Sheet8!A:A,"")</f>
        <v>09f6626a-fa13-4fea-a785-01671ff4e85e</v>
      </c>
      <c r="T12" t="s">
        <v>27</v>
      </c>
      <c r="U12" t="s">
        <v>790</v>
      </c>
      <c r="V12">
        <v>1</v>
      </c>
      <c r="W12">
        <v>1</v>
      </c>
      <c r="X12">
        <v>0</v>
      </c>
      <c r="Y12" s="1">
        <v>44490</v>
      </c>
    </row>
    <row r="13" spans="2:25" x14ac:dyDescent="0.25">
      <c r="B13" t="s">
        <v>75</v>
      </c>
      <c r="C13" t="s">
        <v>76</v>
      </c>
      <c r="D13" t="s">
        <v>77</v>
      </c>
      <c r="E13" t="s">
        <v>78</v>
      </c>
      <c r="F13" t="s">
        <v>535</v>
      </c>
      <c r="G13" t="s">
        <v>37</v>
      </c>
      <c r="H13" t="s">
        <v>613</v>
      </c>
      <c r="I13" t="s">
        <v>79</v>
      </c>
      <c r="J13" t="s">
        <v>687</v>
      </c>
      <c r="K13" t="s">
        <v>22</v>
      </c>
      <c r="L13" t="s">
        <v>39</v>
      </c>
      <c r="M13" t="str">
        <f>_xlfn.XLOOKUP(L13,Sheet11!C:C,Sheet11!A:A,"")</f>
        <v>bc8fd694-29c1-454e-ba8c-d68f1f977187</v>
      </c>
      <c r="N13" t="s">
        <v>44</v>
      </c>
      <c r="O13" t="s">
        <v>719</v>
      </c>
      <c r="P13" t="s">
        <v>40</v>
      </c>
      <c r="Q13" t="s">
        <v>750</v>
      </c>
      <c r="R13" t="s">
        <v>26</v>
      </c>
      <c r="S13" t="str">
        <f>_xlfn.XLOOKUP(R13,Sheet8!C:C,Sheet8!A:A,"")</f>
        <v>09f6626a-fa13-4fea-a785-01671ff4e85e</v>
      </c>
      <c r="T13" t="s">
        <v>27</v>
      </c>
      <c r="U13" t="s">
        <v>790</v>
      </c>
      <c r="V13">
        <v>1</v>
      </c>
      <c r="W13">
        <v>1</v>
      </c>
      <c r="X13">
        <v>0</v>
      </c>
      <c r="Y13" s="1">
        <v>44927</v>
      </c>
    </row>
    <row r="14" spans="2:25" x14ac:dyDescent="0.25">
      <c r="B14" t="s">
        <v>80</v>
      </c>
      <c r="C14" t="s">
        <v>81</v>
      </c>
      <c r="D14" t="s">
        <v>1009</v>
      </c>
      <c r="E14" t="s">
        <v>78</v>
      </c>
      <c r="F14" t="s">
        <v>535</v>
      </c>
      <c r="G14" t="s">
        <v>83</v>
      </c>
      <c r="H14" t="s">
        <v>618</v>
      </c>
      <c r="I14" t="s">
        <v>83</v>
      </c>
      <c r="J14" t="s">
        <v>634</v>
      </c>
      <c r="K14" t="s">
        <v>22</v>
      </c>
      <c r="L14" t="s">
        <v>84</v>
      </c>
      <c r="M14" t="str">
        <f>_xlfn.XLOOKUP(L14,Sheet11!C:C,Sheet11!A:A,"")</f>
        <v>4fae55ef-468d-403a-a7ea-3f6f0bf2df2b</v>
      </c>
      <c r="N14" t="s">
        <v>24</v>
      </c>
      <c r="O14" t="s">
        <v>716</v>
      </c>
      <c r="P14" t="s">
        <v>25</v>
      </c>
      <c r="Q14" t="s">
        <v>737</v>
      </c>
      <c r="R14" t="s">
        <v>26</v>
      </c>
      <c r="S14" t="str">
        <f>_xlfn.XLOOKUP(R14,Sheet8!C:C,Sheet8!A:A,"")</f>
        <v>09f6626a-fa13-4fea-a785-01671ff4e85e</v>
      </c>
      <c r="T14" t="s">
        <v>85</v>
      </c>
      <c r="U14" t="s">
        <v>771</v>
      </c>
      <c r="V14">
        <v>1</v>
      </c>
      <c r="W14">
        <v>1</v>
      </c>
      <c r="X14">
        <v>1</v>
      </c>
      <c r="Y14" s="1">
        <v>42736</v>
      </c>
    </row>
    <row r="15" spans="2:25" x14ac:dyDescent="0.25">
      <c r="B15" t="s">
        <v>80</v>
      </c>
      <c r="C15" t="s">
        <v>81</v>
      </c>
      <c r="D15" t="s">
        <v>1010</v>
      </c>
      <c r="E15" t="s">
        <v>78</v>
      </c>
      <c r="F15" t="s">
        <v>535</v>
      </c>
      <c r="G15" t="s">
        <v>83</v>
      </c>
      <c r="H15" t="s">
        <v>618</v>
      </c>
      <c r="I15" t="s">
        <v>83</v>
      </c>
      <c r="J15" t="s">
        <v>634</v>
      </c>
      <c r="K15" t="s">
        <v>22</v>
      </c>
      <c r="L15" t="s">
        <v>84</v>
      </c>
      <c r="M15" t="str">
        <f>_xlfn.XLOOKUP(L15,Sheet11!C:C,Sheet11!A:A,"")</f>
        <v>4fae55ef-468d-403a-a7ea-3f6f0bf2df2b</v>
      </c>
      <c r="N15" t="s">
        <v>24</v>
      </c>
      <c r="O15" t="s">
        <v>716</v>
      </c>
      <c r="P15" t="s">
        <v>25</v>
      </c>
      <c r="Q15" t="s">
        <v>737</v>
      </c>
      <c r="R15" t="s">
        <v>26</v>
      </c>
      <c r="S15" t="str">
        <f>_xlfn.XLOOKUP(R15,Sheet8!C:C,Sheet8!A:A,"")</f>
        <v>09f6626a-fa13-4fea-a785-01671ff4e85e</v>
      </c>
      <c r="T15" t="s">
        <v>85</v>
      </c>
      <c r="U15" t="s">
        <v>771</v>
      </c>
      <c r="V15">
        <v>1</v>
      </c>
      <c r="W15">
        <v>1</v>
      </c>
      <c r="X15">
        <v>0</v>
      </c>
      <c r="Y15" s="1">
        <v>45312</v>
      </c>
    </row>
    <row r="16" spans="2:25" x14ac:dyDescent="0.25">
      <c r="B16" t="s">
        <v>87</v>
      </c>
      <c r="C16" t="s">
        <v>81</v>
      </c>
      <c r="D16" t="s">
        <v>1011</v>
      </c>
      <c r="E16" t="s">
        <v>78</v>
      </c>
      <c r="F16" t="s">
        <v>535</v>
      </c>
      <c r="G16" t="s">
        <v>37</v>
      </c>
      <c r="H16" t="s">
        <v>613</v>
      </c>
      <c r="I16" t="s">
        <v>37</v>
      </c>
      <c r="J16" t="s">
        <v>656</v>
      </c>
      <c r="K16" t="s">
        <v>22</v>
      </c>
      <c r="L16" t="s">
        <v>89</v>
      </c>
      <c r="M16" t="str">
        <f>_xlfn.XLOOKUP(L16,Sheet11!C:C,Sheet11!A:A,"")</f>
        <v>7ff2666d-dba4-4ff3-b639-2a3683e5a98b</v>
      </c>
      <c r="N16" t="s">
        <v>24</v>
      </c>
      <c r="O16" t="s">
        <v>716</v>
      </c>
      <c r="P16" t="s">
        <v>25</v>
      </c>
      <c r="Q16" t="s">
        <v>737</v>
      </c>
      <c r="R16" t="s">
        <v>90</v>
      </c>
      <c r="S16" t="str">
        <f>_xlfn.XLOOKUP(R16,Sheet8!C:C,Sheet8!A:A,"")</f>
        <v>be1db140-88b0-4b68-a8be-531940183459</v>
      </c>
      <c r="T16" t="s">
        <v>85</v>
      </c>
      <c r="U16" t="s">
        <v>771</v>
      </c>
      <c r="V16">
        <v>1</v>
      </c>
      <c r="W16">
        <v>1</v>
      </c>
      <c r="X16">
        <v>1</v>
      </c>
      <c r="Y16" s="1">
        <v>44641</v>
      </c>
    </row>
    <row r="17" spans="2:25" x14ac:dyDescent="0.25">
      <c r="B17" t="s">
        <v>91</v>
      </c>
      <c r="C17" t="s">
        <v>92</v>
      </c>
      <c r="D17" t="s">
        <v>82</v>
      </c>
      <c r="E17" t="s">
        <v>94</v>
      </c>
      <c r="F17" t="s">
        <v>575</v>
      </c>
      <c r="G17" t="s">
        <v>20</v>
      </c>
      <c r="H17" t="s">
        <v>588</v>
      </c>
      <c r="I17" t="s">
        <v>95</v>
      </c>
      <c r="J17" t="s">
        <v>697</v>
      </c>
      <c r="K17" t="s">
        <v>96</v>
      </c>
      <c r="L17" t="s">
        <v>97</v>
      </c>
      <c r="M17" t="str">
        <f>_xlfn.XLOOKUP(L17,Sheet11!C:C,Sheet11!A:A,"")</f>
        <v>019c6fb3-f51a-78c1-b6e7-52255bb068c5</v>
      </c>
      <c r="N17" t="s">
        <v>98</v>
      </c>
      <c r="O17" t="s">
        <v>710</v>
      </c>
      <c r="P17" t="s">
        <v>99</v>
      </c>
      <c r="Q17" t="s">
        <v>731</v>
      </c>
      <c r="R17" t="s">
        <v>90</v>
      </c>
      <c r="S17" t="str">
        <f>_xlfn.XLOOKUP(R17,Sheet8!C:C,Sheet8!A:A,"")</f>
        <v>be1db140-88b0-4b68-a8be-531940183459</v>
      </c>
      <c r="T17" t="s">
        <v>100</v>
      </c>
      <c r="U17" t="s">
        <v>775</v>
      </c>
      <c r="V17">
        <v>1</v>
      </c>
      <c r="W17">
        <v>1</v>
      </c>
      <c r="X17">
        <v>1</v>
      </c>
      <c r="Y17" s="1">
        <v>45713</v>
      </c>
    </row>
    <row r="18" spans="2:25" x14ac:dyDescent="0.25">
      <c r="B18" t="s">
        <v>101</v>
      </c>
      <c r="C18" t="s">
        <v>102</v>
      </c>
      <c r="D18" t="s">
        <v>86</v>
      </c>
      <c r="E18" t="s">
        <v>94</v>
      </c>
      <c r="F18" t="s">
        <v>575</v>
      </c>
      <c r="G18" t="s">
        <v>49</v>
      </c>
      <c r="H18" t="s">
        <v>592</v>
      </c>
      <c r="I18" t="s">
        <v>49</v>
      </c>
      <c r="J18" t="s">
        <v>637</v>
      </c>
      <c r="K18" t="s">
        <v>96</v>
      </c>
      <c r="L18" t="s">
        <v>104</v>
      </c>
      <c r="M18" t="str">
        <f>_xlfn.XLOOKUP(L18,Sheet11!C:C,Sheet11!A:A,"")</f>
        <v>019c6fb6-3406-7411-9afa-9d3c91e3370d</v>
      </c>
      <c r="N18" t="s">
        <v>98</v>
      </c>
      <c r="O18" t="s">
        <v>710</v>
      </c>
      <c r="P18" t="s">
        <v>99</v>
      </c>
      <c r="Q18" t="s">
        <v>731</v>
      </c>
      <c r="R18" t="s">
        <v>90</v>
      </c>
      <c r="S18" t="str">
        <f>_xlfn.XLOOKUP(R18,Sheet8!C:C,Sheet8!A:A,"")</f>
        <v>be1db140-88b0-4b68-a8be-531940183459</v>
      </c>
      <c r="T18" t="s">
        <v>100</v>
      </c>
      <c r="U18" t="s">
        <v>775</v>
      </c>
      <c r="V18">
        <v>1</v>
      </c>
      <c r="W18">
        <v>1</v>
      </c>
      <c r="X18">
        <v>1</v>
      </c>
      <c r="Y18" s="1">
        <v>45955</v>
      </c>
    </row>
    <row r="19" spans="2:25" x14ac:dyDescent="0.25">
      <c r="B19" t="s">
        <v>105</v>
      </c>
      <c r="C19" t="s">
        <v>106</v>
      </c>
      <c r="D19" t="s">
        <v>88</v>
      </c>
      <c r="E19" t="s">
        <v>94</v>
      </c>
      <c r="F19" t="s">
        <v>575</v>
      </c>
      <c r="G19" t="s">
        <v>49</v>
      </c>
      <c r="H19" t="s">
        <v>592</v>
      </c>
      <c r="I19" t="s">
        <v>108</v>
      </c>
      <c r="J19" t="s">
        <v>647</v>
      </c>
      <c r="K19" t="s">
        <v>96</v>
      </c>
      <c r="L19" t="s">
        <v>109</v>
      </c>
      <c r="M19" t="str">
        <f>_xlfn.XLOOKUP(L19,Sheet11!C:C,Sheet11!A:A,"")</f>
        <v>ca3690fe-7ace-4fb4-9f5f-d58031b8987d</v>
      </c>
      <c r="N19" t="s">
        <v>98</v>
      </c>
      <c r="O19" t="s">
        <v>710</v>
      </c>
      <c r="P19" t="s">
        <v>99</v>
      </c>
      <c r="Q19" t="s">
        <v>731</v>
      </c>
      <c r="R19" t="s">
        <v>90</v>
      </c>
      <c r="S19" t="str">
        <f>_xlfn.XLOOKUP(R19,Sheet8!C:C,Sheet8!A:A,"")</f>
        <v>be1db140-88b0-4b68-a8be-531940183459</v>
      </c>
      <c r="T19" t="s">
        <v>100</v>
      </c>
      <c r="U19" t="s">
        <v>775</v>
      </c>
      <c r="V19">
        <v>1</v>
      </c>
      <c r="W19">
        <v>1</v>
      </c>
      <c r="X19">
        <v>1</v>
      </c>
      <c r="Y19" s="1">
        <v>45713</v>
      </c>
    </row>
    <row r="20" spans="2:25" x14ac:dyDescent="0.25">
      <c r="B20" t="s">
        <v>105</v>
      </c>
      <c r="C20" t="s">
        <v>106</v>
      </c>
      <c r="D20" t="s">
        <v>93</v>
      </c>
      <c r="E20" t="s">
        <v>94</v>
      </c>
      <c r="F20" t="s">
        <v>575</v>
      </c>
      <c r="G20" t="s">
        <v>49</v>
      </c>
      <c r="H20" t="s">
        <v>592</v>
      </c>
      <c r="I20" t="s">
        <v>108</v>
      </c>
      <c r="J20" t="s">
        <v>647</v>
      </c>
      <c r="K20" t="s">
        <v>96</v>
      </c>
      <c r="L20" t="s">
        <v>109</v>
      </c>
      <c r="M20" t="str">
        <f>_xlfn.XLOOKUP(L20,Sheet11!C:C,Sheet11!A:A,"")</f>
        <v>ca3690fe-7ace-4fb4-9f5f-d58031b8987d</v>
      </c>
      <c r="N20" t="s">
        <v>98</v>
      </c>
      <c r="O20" t="s">
        <v>710</v>
      </c>
      <c r="P20" t="s">
        <v>99</v>
      </c>
      <c r="Q20" t="s">
        <v>731</v>
      </c>
      <c r="R20" t="s">
        <v>90</v>
      </c>
      <c r="S20" t="str">
        <f>_xlfn.XLOOKUP(R20,Sheet8!C:C,Sheet8!A:A,"")</f>
        <v>be1db140-88b0-4b68-a8be-531940183459</v>
      </c>
      <c r="T20" t="s">
        <v>100</v>
      </c>
      <c r="U20" t="s">
        <v>775</v>
      </c>
      <c r="V20">
        <v>1</v>
      </c>
      <c r="W20">
        <v>1</v>
      </c>
      <c r="X20">
        <v>1</v>
      </c>
      <c r="Y20" s="1">
        <v>45713</v>
      </c>
    </row>
    <row r="21" spans="2:25" x14ac:dyDescent="0.25">
      <c r="B21" t="s">
        <v>111</v>
      </c>
      <c r="C21" t="s">
        <v>112</v>
      </c>
      <c r="D21" t="s">
        <v>103</v>
      </c>
      <c r="E21" t="s">
        <v>94</v>
      </c>
      <c r="F21" t="s">
        <v>575</v>
      </c>
      <c r="G21" t="s">
        <v>49</v>
      </c>
      <c r="H21" t="s">
        <v>592</v>
      </c>
      <c r="I21" t="s">
        <v>108</v>
      </c>
      <c r="J21" t="s">
        <v>647</v>
      </c>
      <c r="K21" t="s">
        <v>96</v>
      </c>
      <c r="L21" t="s">
        <v>109</v>
      </c>
      <c r="M21" t="str">
        <f>_xlfn.XLOOKUP(L21,Sheet11!C:C,Sheet11!A:A,"")</f>
        <v>ca3690fe-7ace-4fb4-9f5f-d58031b8987d</v>
      </c>
      <c r="N21" t="s">
        <v>98</v>
      </c>
      <c r="O21" t="s">
        <v>710</v>
      </c>
      <c r="P21" t="s">
        <v>99</v>
      </c>
      <c r="Q21" t="s">
        <v>731</v>
      </c>
      <c r="R21" t="s">
        <v>90</v>
      </c>
      <c r="S21" t="str">
        <f>_xlfn.XLOOKUP(R21,Sheet8!C:C,Sheet8!A:A,"")</f>
        <v>be1db140-88b0-4b68-a8be-531940183459</v>
      </c>
      <c r="T21" t="s">
        <v>100</v>
      </c>
      <c r="U21" t="s">
        <v>775</v>
      </c>
      <c r="V21">
        <v>1</v>
      </c>
      <c r="W21">
        <v>1</v>
      </c>
      <c r="X21">
        <v>1</v>
      </c>
      <c r="Y21" s="1">
        <v>45713</v>
      </c>
    </row>
    <row r="22" spans="2:25" x14ac:dyDescent="0.25">
      <c r="B22" t="s">
        <v>111</v>
      </c>
      <c r="C22" t="s">
        <v>112</v>
      </c>
      <c r="D22" t="s">
        <v>107</v>
      </c>
      <c r="E22" t="s">
        <v>94</v>
      </c>
      <c r="F22" t="s">
        <v>575</v>
      </c>
      <c r="G22" t="s">
        <v>49</v>
      </c>
      <c r="H22" t="s">
        <v>592</v>
      </c>
      <c r="I22" t="s">
        <v>108</v>
      </c>
      <c r="J22" t="s">
        <v>647</v>
      </c>
      <c r="K22" t="s">
        <v>96</v>
      </c>
      <c r="L22" t="s">
        <v>109</v>
      </c>
      <c r="M22" t="str">
        <f>_xlfn.XLOOKUP(L22,Sheet11!C:C,Sheet11!A:A,"")</f>
        <v>ca3690fe-7ace-4fb4-9f5f-d58031b8987d</v>
      </c>
      <c r="N22" t="s">
        <v>98</v>
      </c>
      <c r="O22" t="s">
        <v>710</v>
      </c>
      <c r="P22" t="s">
        <v>99</v>
      </c>
      <c r="Q22" t="s">
        <v>731</v>
      </c>
      <c r="R22" t="s">
        <v>90</v>
      </c>
      <c r="S22" t="str">
        <f>_xlfn.XLOOKUP(R22,Sheet8!C:C,Sheet8!A:A,"")</f>
        <v>be1db140-88b0-4b68-a8be-531940183459</v>
      </c>
      <c r="T22" t="s">
        <v>100</v>
      </c>
      <c r="U22" t="s">
        <v>775</v>
      </c>
      <c r="V22">
        <v>1</v>
      </c>
      <c r="W22">
        <v>1</v>
      </c>
      <c r="X22">
        <v>1</v>
      </c>
      <c r="Y22" s="1">
        <v>45713</v>
      </c>
    </row>
    <row r="23" spans="2:25" x14ac:dyDescent="0.25">
      <c r="B23" t="s">
        <v>115</v>
      </c>
      <c r="C23" t="s">
        <v>116</v>
      </c>
      <c r="D23" t="s">
        <v>110</v>
      </c>
      <c r="E23" t="s">
        <v>94</v>
      </c>
      <c r="F23" t="s">
        <v>575</v>
      </c>
      <c r="G23" t="s">
        <v>49</v>
      </c>
      <c r="H23" t="s">
        <v>592</v>
      </c>
      <c r="I23" t="s">
        <v>108</v>
      </c>
      <c r="J23" t="s">
        <v>647</v>
      </c>
      <c r="K23" t="s">
        <v>96</v>
      </c>
      <c r="L23" t="s">
        <v>109</v>
      </c>
      <c r="M23" t="str">
        <f>_xlfn.XLOOKUP(L23,Sheet11!C:C,Sheet11!A:A,"")</f>
        <v>ca3690fe-7ace-4fb4-9f5f-d58031b8987d</v>
      </c>
      <c r="N23" t="s">
        <v>98</v>
      </c>
      <c r="O23" t="s">
        <v>710</v>
      </c>
      <c r="P23" t="s">
        <v>99</v>
      </c>
      <c r="Q23" t="s">
        <v>731</v>
      </c>
      <c r="R23" t="s">
        <v>90</v>
      </c>
      <c r="S23" t="str">
        <f>_xlfn.XLOOKUP(R23,Sheet8!C:C,Sheet8!A:A,"")</f>
        <v>be1db140-88b0-4b68-a8be-531940183459</v>
      </c>
      <c r="T23" t="s">
        <v>100</v>
      </c>
      <c r="U23" t="s">
        <v>775</v>
      </c>
      <c r="V23">
        <v>1</v>
      </c>
      <c r="W23">
        <v>1</v>
      </c>
      <c r="X23">
        <v>1</v>
      </c>
      <c r="Y23" s="1">
        <v>45762</v>
      </c>
    </row>
    <row r="24" spans="2:25" x14ac:dyDescent="0.25">
      <c r="B24" t="s">
        <v>115</v>
      </c>
      <c r="C24" t="s">
        <v>116</v>
      </c>
      <c r="D24" t="s">
        <v>113</v>
      </c>
      <c r="E24" t="s">
        <v>94</v>
      </c>
      <c r="F24" t="s">
        <v>575</v>
      </c>
      <c r="G24" t="s">
        <v>49</v>
      </c>
      <c r="H24" t="s">
        <v>592</v>
      </c>
      <c r="I24" t="s">
        <v>108</v>
      </c>
      <c r="J24" t="s">
        <v>647</v>
      </c>
      <c r="K24" t="s">
        <v>96</v>
      </c>
      <c r="L24" t="s">
        <v>109</v>
      </c>
      <c r="M24" t="str">
        <f>_xlfn.XLOOKUP(L24,Sheet11!C:C,Sheet11!A:A,"")</f>
        <v>ca3690fe-7ace-4fb4-9f5f-d58031b8987d</v>
      </c>
      <c r="N24" t="s">
        <v>98</v>
      </c>
      <c r="O24" t="s">
        <v>710</v>
      </c>
      <c r="P24" t="s">
        <v>99</v>
      </c>
      <c r="Q24" t="s">
        <v>731</v>
      </c>
      <c r="R24" t="s">
        <v>90</v>
      </c>
      <c r="S24" t="str">
        <f>_xlfn.XLOOKUP(R24,Sheet8!C:C,Sheet8!A:A,"")</f>
        <v>be1db140-88b0-4b68-a8be-531940183459</v>
      </c>
      <c r="T24" t="s">
        <v>100</v>
      </c>
      <c r="U24" t="s">
        <v>775</v>
      </c>
      <c r="V24">
        <v>1</v>
      </c>
      <c r="W24">
        <v>1</v>
      </c>
      <c r="X24">
        <v>1</v>
      </c>
      <c r="Y24" s="1">
        <v>45762</v>
      </c>
    </row>
    <row r="25" spans="2:25" x14ac:dyDescent="0.25">
      <c r="B25" t="s">
        <v>119</v>
      </c>
      <c r="C25" t="s">
        <v>120</v>
      </c>
      <c r="D25" t="s">
        <v>114</v>
      </c>
      <c r="E25" t="s">
        <v>94</v>
      </c>
      <c r="F25" t="s">
        <v>575</v>
      </c>
      <c r="G25" t="s">
        <v>49</v>
      </c>
      <c r="H25" t="s">
        <v>592</v>
      </c>
      <c r="I25" t="s">
        <v>108</v>
      </c>
      <c r="J25" t="s">
        <v>647</v>
      </c>
      <c r="K25" t="s">
        <v>96</v>
      </c>
      <c r="L25" t="s">
        <v>109</v>
      </c>
      <c r="M25" t="str">
        <f>_xlfn.XLOOKUP(L25,Sheet11!C:C,Sheet11!A:A,"")</f>
        <v>ca3690fe-7ace-4fb4-9f5f-d58031b8987d</v>
      </c>
      <c r="N25" t="s">
        <v>98</v>
      </c>
      <c r="O25" t="s">
        <v>710</v>
      </c>
      <c r="P25" t="s">
        <v>99</v>
      </c>
      <c r="Q25" t="s">
        <v>731</v>
      </c>
      <c r="R25" t="s">
        <v>90</v>
      </c>
      <c r="S25" t="str">
        <f>_xlfn.XLOOKUP(R25,Sheet8!C:C,Sheet8!A:A,"")</f>
        <v>be1db140-88b0-4b68-a8be-531940183459</v>
      </c>
      <c r="T25" t="s">
        <v>100</v>
      </c>
      <c r="U25" t="s">
        <v>775</v>
      </c>
      <c r="V25">
        <v>1</v>
      </c>
      <c r="W25">
        <v>1</v>
      </c>
      <c r="X25">
        <v>1</v>
      </c>
      <c r="Y25" s="1">
        <v>45870</v>
      </c>
    </row>
    <row r="26" spans="2:25" x14ac:dyDescent="0.25">
      <c r="B26" t="s">
        <v>119</v>
      </c>
      <c r="C26" t="s">
        <v>120</v>
      </c>
      <c r="D26" t="s">
        <v>117</v>
      </c>
      <c r="E26" t="s">
        <v>94</v>
      </c>
      <c r="F26" t="s">
        <v>575</v>
      </c>
      <c r="G26" t="s">
        <v>49</v>
      </c>
      <c r="H26" t="s">
        <v>592</v>
      </c>
      <c r="I26" t="s">
        <v>108</v>
      </c>
      <c r="J26" t="s">
        <v>647</v>
      </c>
      <c r="K26" t="s">
        <v>96</v>
      </c>
      <c r="L26" t="s">
        <v>109</v>
      </c>
      <c r="M26" t="str">
        <f>_xlfn.XLOOKUP(L26,Sheet11!C:C,Sheet11!A:A,"")</f>
        <v>ca3690fe-7ace-4fb4-9f5f-d58031b8987d</v>
      </c>
      <c r="N26" t="s">
        <v>98</v>
      </c>
      <c r="O26" t="s">
        <v>710</v>
      </c>
      <c r="P26" t="s">
        <v>99</v>
      </c>
      <c r="Q26" t="s">
        <v>731</v>
      </c>
      <c r="R26" t="s">
        <v>90</v>
      </c>
      <c r="S26" t="str">
        <f>_xlfn.XLOOKUP(R26,Sheet8!C:C,Sheet8!A:A,"")</f>
        <v>be1db140-88b0-4b68-a8be-531940183459</v>
      </c>
      <c r="T26" t="s">
        <v>100</v>
      </c>
      <c r="U26" t="s">
        <v>775</v>
      </c>
      <c r="V26">
        <v>1</v>
      </c>
      <c r="W26">
        <v>1</v>
      </c>
      <c r="X26">
        <v>1</v>
      </c>
      <c r="Y26" s="1">
        <v>45870</v>
      </c>
    </row>
    <row r="27" spans="2:25" x14ac:dyDescent="0.25">
      <c r="B27" t="s">
        <v>123</v>
      </c>
      <c r="C27" t="s">
        <v>124</v>
      </c>
      <c r="D27" t="s">
        <v>118</v>
      </c>
      <c r="E27" t="s">
        <v>94</v>
      </c>
      <c r="F27" t="s">
        <v>575</v>
      </c>
      <c r="G27" t="s">
        <v>49</v>
      </c>
      <c r="H27" t="s">
        <v>592</v>
      </c>
      <c r="I27" t="s">
        <v>126</v>
      </c>
      <c r="J27" t="s">
        <v>650</v>
      </c>
      <c r="K27" t="s">
        <v>96</v>
      </c>
      <c r="L27" t="s">
        <v>127</v>
      </c>
      <c r="M27" t="str">
        <f>_xlfn.XLOOKUP(L27,Sheet11!C:C,Sheet11!A:A,"")</f>
        <v>8b97c0dd-b007-47fc-8218-839407dd3f50</v>
      </c>
      <c r="N27" t="s">
        <v>98</v>
      </c>
      <c r="O27" t="s">
        <v>710</v>
      </c>
      <c r="P27" t="s">
        <v>99</v>
      </c>
      <c r="Q27" t="s">
        <v>731</v>
      </c>
      <c r="R27" t="s">
        <v>90</v>
      </c>
      <c r="S27" t="str">
        <f>_xlfn.XLOOKUP(R27,Sheet8!C:C,Sheet8!A:A,"")</f>
        <v>be1db140-88b0-4b68-a8be-531940183459</v>
      </c>
      <c r="T27" t="s">
        <v>100</v>
      </c>
      <c r="U27" t="s">
        <v>775</v>
      </c>
      <c r="V27">
        <v>1</v>
      </c>
      <c r="W27">
        <v>1</v>
      </c>
      <c r="X27">
        <v>1</v>
      </c>
      <c r="Y27" s="1">
        <v>45992</v>
      </c>
    </row>
    <row r="28" spans="2:25" x14ac:dyDescent="0.25">
      <c r="B28" t="s">
        <v>128</v>
      </c>
      <c r="C28" t="s">
        <v>129</v>
      </c>
      <c r="D28" t="s">
        <v>121</v>
      </c>
      <c r="E28" t="s">
        <v>94</v>
      </c>
      <c r="F28" t="s">
        <v>575</v>
      </c>
      <c r="G28" t="s">
        <v>37</v>
      </c>
      <c r="H28" t="s">
        <v>613</v>
      </c>
      <c r="I28" t="s">
        <v>37</v>
      </c>
      <c r="J28" t="s">
        <v>656</v>
      </c>
      <c r="K28" t="s">
        <v>96</v>
      </c>
      <c r="L28" t="s">
        <v>131</v>
      </c>
      <c r="M28" t="str">
        <f>_xlfn.XLOOKUP(L28,Sheet11!C:C,Sheet11!A:A,"")</f>
        <v>f14b589b-747b-42cd-988f-07b7432f7d8b</v>
      </c>
      <c r="N28" t="s">
        <v>98</v>
      </c>
      <c r="O28" t="s">
        <v>710</v>
      </c>
      <c r="P28" t="s">
        <v>99</v>
      </c>
      <c r="Q28" t="s">
        <v>731</v>
      </c>
      <c r="R28" t="s">
        <v>90</v>
      </c>
      <c r="S28" t="str">
        <f>_xlfn.XLOOKUP(R28,Sheet8!C:C,Sheet8!A:A,"")</f>
        <v>be1db140-88b0-4b68-a8be-531940183459</v>
      </c>
      <c r="T28" t="s">
        <v>100</v>
      </c>
      <c r="U28" t="s">
        <v>775</v>
      </c>
      <c r="V28">
        <v>1</v>
      </c>
      <c r="W28">
        <v>1</v>
      </c>
      <c r="X28">
        <v>1</v>
      </c>
      <c r="Y28" s="1">
        <v>45713</v>
      </c>
    </row>
    <row r="29" spans="2:25" x14ac:dyDescent="0.25">
      <c r="B29" t="s">
        <v>132</v>
      </c>
      <c r="C29" t="s">
        <v>133</v>
      </c>
      <c r="D29" t="s">
        <v>122</v>
      </c>
      <c r="E29" t="s">
        <v>94</v>
      </c>
      <c r="F29" t="s">
        <v>575</v>
      </c>
      <c r="G29" t="s">
        <v>37</v>
      </c>
      <c r="H29" t="s">
        <v>613</v>
      </c>
      <c r="I29" t="s">
        <v>79</v>
      </c>
      <c r="J29" t="s">
        <v>687</v>
      </c>
      <c r="K29" t="s">
        <v>96</v>
      </c>
      <c r="L29" t="s">
        <v>135</v>
      </c>
      <c r="M29" t="str">
        <f>_xlfn.XLOOKUP(L29,Sheet11!C:C,Sheet11!A:A,"")</f>
        <v>77902233-33a1-467d-8554-c8c2507e74ce</v>
      </c>
      <c r="N29" t="s">
        <v>98</v>
      </c>
      <c r="O29" t="s">
        <v>710</v>
      </c>
      <c r="P29" t="s">
        <v>99</v>
      </c>
      <c r="Q29" t="s">
        <v>731</v>
      </c>
      <c r="R29" t="s">
        <v>90</v>
      </c>
      <c r="S29" t="str">
        <f>_xlfn.XLOOKUP(R29,Sheet8!C:C,Sheet8!A:A,"")</f>
        <v>be1db140-88b0-4b68-a8be-531940183459</v>
      </c>
      <c r="T29" t="s">
        <v>100</v>
      </c>
      <c r="U29" t="s">
        <v>775</v>
      </c>
      <c r="V29">
        <v>1</v>
      </c>
      <c r="W29">
        <v>1</v>
      </c>
      <c r="X29">
        <v>1</v>
      </c>
      <c r="Y29" s="1">
        <v>45713</v>
      </c>
    </row>
    <row r="30" spans="2:25" x14ac:dyDescent="0.25">
      <c r="B30" t="s">
        <v>132</v>
      </c>
      <c r="C30" t="s">
        <v>133</v>
      </c>
      <c r="D30" t="s">
        <v>125</v>
      </c>
      <c r="E30" t="s">
        <v>94</v>
      </c>
      <c r="F30" t="s">
        <v>575</v>
      </c>
      <c r="G30" t="s">
        <v>37</v>
      </c>
      <c r="H30" t="s">
        <v>613</v>
      </c>
      <c r="I30" t="s">
        <v>79</v>
      </c>
      <c r="J30" t="s">
        <v>687</v>
      </c>
      <c r="K30" t="s">
        <v>96</v>
      </c>
      <c r="L30" t="s">
        <v>137</v>
      </c>
      <c r="M30" t="str">
        <f>_xlfn.XLOOKUP(L30,Sheet11!C:C,Sheet11!A:A,"")</f>
        <v/>
      </c>
      <c r="N30" t="s">
        <v>98</v>
      </c>
      <c r="O30" t="s">
        <v>710</v>
      </c>
      <c r="P30" t="s">
        <v>99</v>
      </c>
      <c r="Q30" t="s">
        <v>731</v>
      </c>
      <c r="R30" t="s">
        <v>90</v>
      </c>
      <c r="S30" t="str">
        <f>_xlfn.XLOOKUP(R30,Sheet8!C:C,Sheet8!A:A,"")</f>
        <v>be1db140-88b0-4b68-a8be-531940183459</v>
      </c>
      <c r="T30" t="s">
        <v>100</v>
      </c>
      <c r="U30" t="s">
        <v>775</v>
      </c>
      <c r="V30">
        <v>1</v>
      </c>
      <c r="W30">
        <v>1</v>
      </c>
      <c r="X30">
        <v>1</v>
      </c>
      <c r="Y30" s="1">
        <v>45713</v>
      </c>
    </row>
    <row r="31" spans="2:25" x14ac:dyDescent="0.25">
      <c r="B31" t="s">
        <v>132</v>
      </c>
      <c r="C31" t="s">
        <v>133</v>
      </c>
      <c r="D31" t="s">
        <v>130</v>
      </c>
      <c r="E31" t="s">
        <v>94</v>
      </c>
      <c r="F31" t="s">
        <v>575</v>
      </c>
      <c r="G31" t="s">
        <v>37</v>
      </c>
      <c r="H31" t="s">
        <v>613</v>
      </c>
      <c r="I31" t="s">
        <v>79</v>
      </c>
      <c r="J31" t="s">
        <v>687</v>
      </c>
      <c r="K31" t="s">
        <v>96</v>
      </c>
      <c r="L31" t="s">
        <v>135</v>
      </c>
      <c r="M31" t="str">
        <f>_xlfn.XLOOKUP(L31,Sheet11!C:C,Sheet11!A:A,"")</f>
        <v>77902233-33a1-467d-8554-c8c2507e74ce</v>
      </c>
      <c r="N31" t="s">
        <v>98</v>
      </c>
      <c r="O31" t="s">
        <v>710</v>
      </c>
      <c r="P31" t="s">
        <v>99</v>
      </c>
      <c r="Q31" t="s">
        <v>731</v>
      </c>
      <c r="R31" t="s">
        <v>90</v>
      </c>
      <c r="S31" t="str">
        <f>_xlfn.XLOOKUP(R31,Sheet8!C:C,Sheet8!A:A,"")</f>
        <v>be1db140-88b0-4b68-a8be-531940183459</v>
      </c>
      <c r="T31" t="s">
        <v>100</v>
      </c>
      <c r="U31" t="s">
        <v>775</v>
      </c>
      <c r="V31">
        <v>1</v>
      </c>
      <c r="W31">
        <v>1</v>
      </c>
      <c r="X31">
        <v>1</v>
      </c>
      <c r="Y31" s="1">
        <v>45713</v>
      </c>
    </row>
    <row r="32" spans="2:25" x14ac:dyDescent="0.25">
      <c r="B32" t="s">
        <v>139</v>
      </c>
      <c r="C32" t="s">
        <v>140</v>
      </c>
      <c r="D32" t="s">
        <v>134</v>
      </c>
      <c r="E32" t="s">
        <v>94</v>
      </c>
      <c r="F32" t="s">
        <v>575</v>
      </c>
      <c r="G32" t="s">
        <v>142</v>
      </c>
      <c r="H32" t="s">
        <v>601</v>
      </c>
      <c r="I32" t="s">
        <v>143</v>
      </c>
      <c r="J32" t="s">
        <v>665</v>
      </c>
      <c r="K32" t="s">
        <v>96</v>
      </c>
      <c r="L32" t="s">
        <v>144</v>
      </c>
      <c r="M32" t="str">
        <f>_xlfn.XLOOKUP(L32,Sheet11!C:C,Sheet11!A:A,"")</f>
        <v/>
      </c>
      <c r="N32" t="s">
        <v>98</v>
      </c>
      <c r="O32" t="s">
        <v>710</v>
      </c>
      <c r="P32" t="s">
        <v>99</v>
      </c>
      <c r="Q32" t="s">
        <v>731</v>
      </c>
      <c r="R32" t="s">
        <v>90</v>
      </c>
      <c r="S32" t="str">
        <f>_xlfn.XLOOKUP(R32,Sheet8!C:C,Sheet8!A:A,"")</f>
        <v>be1db140-88b0-4b68-a8be-531940183459</v>
      </c>
      <c r="T32" t="s">
        <v>100</v>
      </c>
      <c r="U32" t="s">
        <v>775</v>
      </c>
      <c r="V32">
        <v>1</v>
      </c>
      <c r="W32">
        <v>1</v>
      </c>
      <c r="X32">
        <v>1</v>
      </c>
      <c r="Y32" s="1">
        <v>42736</v>
      </c>
    </row>
    <row r="33" spans="2:25" x14ac:dyDescent="0.25">
      <c r="B33" t="s">
        <v>145</v>
      </c>
      <c r="C33" t="s">
        <v>146</v>
      </c>
      <c r="D33" t="s">
        <v>136</v>
      </c>
      <c r="E33" t="s">
        <v>94</v>
      </c>
      <c r="F33" t="s">
        <v>575</v>
      </c>
      <c r="G33" t="s">
        <v>142</v>
      </c>
      <c r="H33" t="s">
        <v>601</v>
      </c>
      <c r="I33" t="s">
        <v>148</v>
      </c>
      <c r="J33" t="s">
        <v>677</v>
      </c>
      <c r="K33" t="s">
        <v>96</v>
      </c>
      <c r="L33" t="s">
        <v>149</v>
      </c>
      <c r="M33" t="str">
        <f>_xlfn.XLOOKUP(L33,Sheet11!C:C,Sheet11!A:A,"")</f>
        <v/>
      </c>
      <c r="N33" t="s">
        <v>98</v>
      </c>
      <c r="O33" t="s">
        <v>710</v>
      </c>
      <c r="P33" t="s">
        <v>99</v>
      </c>
      <c r="Q33" t="s">
        <v>731</v>
      </c>
      <c r="R33" t="s">
        <v>90</v>
      </c>
      <c r="S33" t="str">
        <f>_xlfn.XLOOKUP(R33,Sheet8!C:C,Sheet8!A:A,"")</f>
        <v>be1db140-88b0-4b68-a8be-531940183459</v>
      </c>
      <c r="T33" t="s">
        <v>100</v>
      </c>
      <c r="U33" t="s">
        <v>775</v>
      </c>
      <c r="V33">
        <v>1</v>
      </c>
      <c r="W33">
        <v>1</v>
      </c>
      <c r="X33">
        <v>1</v>
      </c>
      <c r="Y33" s="1">
        <v>45740</v>
      </c>
    </row>
    <row r="34" spans="2:25" x14ac:dyDescent="0.25">
      <c r="B34" t="s">
        <v>150</v>
      </c>
      <c r="C34" t="s">
        <v>151</v>
      </c>
      <c r="D34" t="s">
        <v>138</v>
      </c>
      <c r="E34" t="s">
        <v>153</v>
      </c>
      <c r="F34" t="s">
        <v>472</v>
      </c>
      <c r="G34" t="s">
        <v>49</v>
      </c>
      <c r="H34" t="s">
        <v>592</v>
      </c>
      <c r="I34" t="s">
        <v>108</v>
      </c>
      <c r="J34" t="s">
        <v>647</v>
      </c>
      <c r="K34" t="s">
        <v>22</v>
      </c>
      <c r="L34" t="s">
        <v>109</v>
      </c>
      <c r="M34" t="str">
        <f>_xlfn.XLOOKUP(L34,Sheet11!C:C,Sheet11!A:A,"")</f>
        <v>ca3690fe-7ace-4fb4-9f5f-d58031b8987d</v>
      </c>
      <c r="N34" t="s">
        <v>154</v>
      </c>
      <c r="O34" t="s">
        <v>713</v>
      </c>
      <c r="P34" t="s">
        <v>155</v>
      </c>
      <c r="Q34" t="s">
        <v>734</v>
      </c>
      <c r="R34" t="s">
        <v>90</v>
      </c>
      <c r="S34" t="str">
        <f>_xlfn.XLOOKUP(R34,Sheet8!C:C,Sheet8!A:A,"")</f>
        <v>be1db140-88b0-4b68-a8be-531940183459</v>
      </c>
      <c r="T34" t="s">
        <v>100</v>
      </c>
      <c r="U34" t="s">
        <v>775</v>
      </c>
      <c r="V34">
        <v>1</v>
      </c>
      <c r="W34">
        <v>1</v>
      </c>
      <c r="X34">
        <v>1</v>
      </c>
      <c r="Y34" s="1">
        <v>42736</v>
      </c>
    </row>
    <row r="35" spans="2:25" x14ac:dyDescent="0.25">
      <c r="B35" t="s">
        <v>150</v>
      </c>
      <c r="C35" t="s">
        <v>151</v>
      </c>
      <c r="D35" t="s">
        <v>141</v>
      </c>
      <c r="E35" t="s">
        <v>153</v>
      </c>
      <c r="F35" t="s">
        <v>472</v>
      </c>
      <c r="G35" t="s">
        <v>49</v>
      </c>
      <c r="H35" t="s">
        <v>592</v>
      </c>
      <c r="I35" t="s">
        <v>108</v>
      </c>
      <c r="J35" t="s">
        <v>647</v>
      </c>
      <c r="K35" t="s">
        <v>22</v>
      </c>
      <c r="L35" t="s">
        <v>109</v>
      </c>
      <c r="M35" t="str">
        <f>_xlfn.XLOOKUP(L35,Sheet11!C:C,Sheet11!A:A,"")</f>
        <v>ca3690fe-7ace-4fb4-9f5f-d58031b8987d</v>
      </c>
      <c r="N35" t="s">
        <v>154</v>
      </c>
      <c r="O35" t="s">
        <v>713</v>
      </c>
      <c r="P35" t="s">
        <v>155</v>
      </c>
      <c r="Q35" t="s">
        <v>734</v>
      </c>
      <c r="R35" t="s">
        <v>90</v>
      </c>
      <c r="S35" t="str">
        <f>_xlfn.XLOOKUP(R35,Sheet8!C:C,Sheet8!A:A,"")</f>
        <v>be1db140-88b0-4b68-a8be-531940183459</v>
      </c>
      <c r="T35" t="s">
        <v>100</v>
      </c>
      <c r="U35" t="s">
        <v>775</v>
      </c>
      <c r="V35">
        <v>1</v>
      </c>
      <c r="W35">
        <v>1</v>
      </c>
      <c r="X35">
        <v>1</v>
      </c>
      <c r="Y35" s="1">
        <v>42736</v>
      </c>
    </row>
    <row r="36" spans="2:25" x14ac:dyDescent="0.25">
      <c r="B36" t="s">
        <v>157</v>
      </c>
      <c r="C36" t="s">
        <v>158</v>
      </c>
      <c r="D36" t="s">
        <v>147</v>
      </c>
      <c r="E36" t="s">
        <v>153</v>
      </c>
      <c r="F36" t="s">
        <v>472</v>
      </c>
      <c r="G36" t="s">
        <v>49</v>
      </c>
      <c r="H36" t="s">
        <v>592</v>
      </c>
      <c r="I36" t="s">
        <v>108</v>
      </c>
      <c r="J36" t="s">
        <v>647</v>
      </c>
      <c r="K36" t="s">
        <v>22</v>
      </c>
      <c r="L36" t="s">
        <v>160</v>
      </c>
      <c r="M36" t="str">
        <f>_xlfn.XLOOKUP(L36,Sheet11!C:C,Sheet11!A:A,"")</f>
        <v>0a998918-1619-4ab5-8a03-1a3eed9cf2f3</v>
      </c>
      <c r="N36" t="s">
        <v>154</v>
      </c>
      <c r="O36" t="s">
        <v>713</v>
      </c>
      <c r="P36" t="s">
        <v>155</v>
      </c>
      <c r="Q36" t="s">
        <v>734</v>
      </c>
      <c r="R36" t="s">
        <v>90</v>
      </c>
      <c r="S36" t="str">
        <f>_xlfn.XLOOKUP(R36,Sheet8!C:C,Sheet8!A:A,"")</f>
        <v>be1db140-88b0-4b68-a8be-531940183459</v>
      </c>
      <c r="T36" t="s">
        <v>100</v>
      </c>
      <c r="U36" t="s">
        <v>775</v>
      </c>
      <c r="V36">
        <v>1</v>
      </c>
      <c r="W36">
        <v>1</v>
      </c>
      <c r="X36">
        <v>1</v>
      </c>
      <c r="Y36" s="1">
        <v>42736</v>
      </c>
    </row>
    <row r="37" spans="2:25" x14ac:dyDescent="0.25">
      <c r="B37" t="s">
        <v>161</v>
      </c>
      <c r="C37" t="s">
        <v>162</v>
      </c>
      <c r="D37" t="s">
        <v>152</v>
      </c>
      <c r="E37" t="s">
        <v>153</v>
      </c>
      <c r="F37" t="s">
        <v>472</v>
      </c>
      <c r="G37" t="s">
        <v>49</v>
      </c>
      <c r="H37" t="s">
        <v>592</v>
      </c>
      <c r="I37" t="s">
        <v>108</v>
      </c>
      <c r="J37" t="s">
        <v>647</v>
      </c>
      <c r="K37" t="s">
        <v>22</v>
      </c>
      <c r="L37" t="s">
        <v>109</v>
      </c>
      <c r="M37" t="str">
        <f>_xlfn.XLOOKUP(L37,Sheet11!C:C,Sheet11!A:A,"")</f>
        <v>ca3690fe-7ace-4fb4-9f5f-d58031b8987d</v>
      </c>
      <c r="N37" t="s">
        <v>154</v>
      </c>
      <c r="O37" t="s">
        <v>713</v>
      </c>
      <c r="P37" t="s">
        <v>155</v>
      </c>
      <c r="Q37" t="s">
        <v>734</v>
      </c>
      <c r="R37" t="s">
        <v>90</v>
      </c>
      <c r="S37" t="str">
        <f>_xlfn.XLOOKUP(R37,Sheet8!C:C,Sheet8!A:A,"")</f>
        <v>be1db140-88b0-4b68-a8be-531940183459</v>
      </c>
      <c r="T37" t="s">
        <v>100</v>
      </c>
      <c r="U37" t="s">
        <v>775</v>
      </c>
      <c r="V37">
        <v>1</v>
      </c>
      <c r="W37">
        <v>1</v>
      </c>
      <c r="X37">
        <v>1</v>
      </c>
      <c r="Y37" s="1">
        <v>42736</v>
      </c>
    </row>
    <row r="38" spans="2:25" x14ac:dyDescent="0.25">
      <c r="B38" t="s">
        <v>161</v>
      </c>
      <c r="C38" t="s">
        <v>162</v>
      </c>
      <c r="D38" t="s">
        <v>156</v>
      </c>
      <c r="E38" t="s">
        <v>153</v>
      </c>
      <c r="F38" t="s">
        <v>472</v>
      </c>
      <c r="G38" t="s">
        <v>49</v>
      </c>
      <c r="H38" t="s">
        <v>592</v>
      </c>
      <c r="I38" t="s">
        <v>108</v>
      </c>
      <c r="J38" t="s">
        <v>647</v>
      </c>
      <c r="K38" t="s">
        <v>22</v>
      </c>
      <c r="L38" t="s">
        <v>109</v>
      </c>
      <c r="M38" t="str">
        <f>_xlfn.XLOOKUP(L38,Sheet11!C:C,Sheet11!A:A,"")</f>
        <v>ca3690fe-7ace-4fb4-9f5f-d58031b8987d</v>
      </c>
      <c r="N38" t="s">
        <v>154</v>
      </c>
      <c r="O38" t="s">
        <v>713</v>
      </c>
      <c r="P38" t="s">
        <v>155</v>
      </c>
      <c r="Q38" t="s">
        <v>734</v>
      </c>
      <c r="R38" t="s">
        <v>90</v>
      </c>
      <c r="S38" t="str">
        <f>_xlfn.XLOOKUP(R38,Sheet8!C:C,Sheet8!A:A,"")</f>
        <v>be1db140-88b0-4b68-a8be-531940183459</v>
      </c>
      <c r="T38" t="s">
        <v>100</v>
      </c>
      <c r="U38" t="s">
        <v>775</v>
      </c>
      <c r="V38">
        <v>1</v>
      </c>
      <c r="W38">
        <v>1</v>
      </c>
      <c r="X38">
        <v>1</v>
      </c>
      <c r="Y38" s="1">
        <v>42736</v>
      </c>
    </row>
    <row r="39" spans="2:25" x14ac:dyDescent="0.25">
      <c r="B39" t="s">
        <v>165</v>
      </c>
      <c r="C39" t="s">
        <v>166</v>
      </c>
      <c r="D39" t="s">
        <v>159</v>
      </c>
      <c r="E39" t="s">
        <v>520</v>
      </c>
      <c r="F39" t="s">
        <v>518</v>
      </c>
      <c r="G39" t="s">
        <v>37</v>
      </c>
      <c r="H39" t="s">
        <v>613</v>
      </c>
      <c r="I39" t="s">
        <v>37</v>
      </c>
      <c r="J39" t="s">
        <v>656</v>
      </c>
      <c r="K39" t="s">
        <v>22</v>
      </c>
      <c r="L39" t="s">
        <v>168</v>
      </c>
      <c r="M39" t="str">
        <f>_xlfn.XLOOKUP(L39,Sheet11!C:C,Sheet11!A:A,"")</f>
        <v>749e3e1d-f8ad-4858-a4e7-bc51b52ef028</v>
      </c>
      <c r="N39" t="s">
        <v>154</v>
      </c>
      <c r="O39" t="s">
        <v>713</v>
      </c>
      <c r="P39" t="s">
        <v>155</v>
      </c>
      <c r="Q39" t="s">
        <v>734</v>
      </c>
      <c r="R39" t="s">
        <v>90</v>
      </c>
      <c r="S39" t="str">
        <f>_xlfn.XLOOKUP(R39,Sheet8!C:C,Sheet8!A:A,"")</f>
        <v>be1db140-88b0-4b68-a8be-531940183459</v>
      </c>
      <c r="T39" t="s">
        <v>100</v>
      </c>
      <c r="U39" t="s">
        <v>775</v>
      </c>
      <c r="V39">
        <v>1</v>
      </c>
      <c r="W39">
        <v>1</v>
      </c>
      <c r="X39">
        <v>1</v>
      </c>
      <c r="Y39" s="1">
        <v>44602</v>
      </c>
    </row>
    <row r="40" spans="2:25" x14ac:dyDescent="0.25">
      <c r="B40" t="s">
        <v>169</v>
      </c>
      <c r="C40" t="s">
        <v>170</v>
      </c>
      <c r="D40" t="s">
        <v>163</v>
      </c>
      <c r="E40" t="s">
        <v>520</v>
      </c>
      <c r="F40" t="s">
        <v>518</v>
      </c>
      <c r="G40" t="s">
        <v>37</v>
      </c>
      <c r="H40" t="s">
        <v>613</v>
      </c>
      <c r="I40" t="s">
        <v>37</v>
      </c>
      <c r="J40" t="s">
        <v>656</v>
      </c>
      <c r="K40" t="s">
        <v>22</v>
      </c>
      <c r="L40" t="s">
        <v>131</v>
      </c>
      <c r="M40" t="str">
        <f>_xlfn.XLOOKUP(L40,Sheet11!C:C,Sheet11!A:A,"")</f>
        <v>f14b589b-747b-42cd-988f-07b7432f7d8b</v>
      </c>
      <c r="N40" t="s">
        <v>154</v>
      </c>
      <c r="O40" t="s">
        <v>713</v>
      </c>
      <c r="P40" t="s">
        <v>155</v>
      </c>
      <c r="Q40" t="s">
        <v>734</v>
      </c>
      <c r="R40" t="s">
        <v>90</v>
      </c>
      <c r="S40" t="str">
        <f>_xlfn.XLOOKUP(R40,Sheet8!C:C,Sheet8!A:A,"")</f>
        <v>be1db140-88b0-4b68-a8be-531940183459</v>
      </c>
      <c r="T40" t="s">
        <v>100</v>
      </c>
      <c r="U40" t="s">
        <v>775</v>
      </c>
      <c r="V40">
        <v>1</v>
      </c>
      <c r="W40">
        <v>1</v>
      </c>
      <c r="X40">
        <v>1</v>
      </c>
      <c r="Y40" s="1">
        <v>44599</v>
      </c>
    </row>
    <row r="41" spans="2:25" x14ac:dyDescent="0.25">
      <c r="B41" t="s">
        <v>172</v>
      </c>
      <c r="C41" t="s">
        <v>173</v>
      </c>
      <c r="D41" t="s">
        <v>164</v>
      </c>
      <c r="E41" t="s">
        <v>520</v>
      </c>
      <c r="F41" t="s">
        <v>518</v>
      </c>
      <c r="G41" t="s">
        <v>37</v>
      </c>
      <c r="H41" t="s">
        <v>613</v>
      </c>
      <c r="I41" t="s">
        <v>37</v>
      </c>
      <c r="J41" t="s">
        <v>656</v>
      </c>
      <c r="K41" t="s">
        <v>22</v>
      </c>
      <c r="L41" t="s">
        <v>135</v>
      </c>
      <c r="M41" t="str">
        <f>_xlfn.XLOOKUP(L41,Sheet11!C:C,Sheet11!A:A,"")</f>
        <v>77902233-33a1-467d-8554-c8c2507e74ce</v>
      </c>
      <c r="N41" t="s">
        <v>154</v>
      </c>
      <c r="O41" t="s">
        <v>713</v>
      </c>
      <c r="P41" t="s">
        <v>155</v>
      </c>
      <c r="Q41" t="s">
        <v>734</v>
      </c>
      <c r="R41" t="s">
        <v>90</v>
      </c>
      <c r="S41" t="str">
        <f>_xlfn.XLOOKUP(R41,Sheet8!C:C,Sheet8!A:A,"")</f>
        <v>be1db140-88b0-4b68-a8be-531940183459</v>
      </c>
      <c r="T41" t="s">
        <v>100</v>
      </c>
      <c r="U41" t="s">
        <v>775</v>
      </c>
      <c r="V41">
        <v>1</v>
      </c>
      <c r="W41">
        <v>1</v>
      </c>
      <c r="X41">
        <v>1</v>
      </c>
      <c r="Y41" s="1">
        <v>44490</v>
      </c>
    </row>
    <row r="42" spans="2:25" x14ac:dyDescent="0.25">
      <c r="B42" t="s">
        <v>172</v>
      </c>
      <c r="C42" t="s">
        <v>173</v>
      </c>
      <c r="D42" t="s">
        <v>167</v>
      </c>
      <c r="E42" t="s">
        <v>520</v>
      </c>
      <c r="F42" t="s">
        <v>518</v>
      </c>
      <c r="G42" t="s">
        <v>37</v>
      </c>
      <c r="H42" t="s">
        <v>613</v>
      </c>
      <c r="I42" t="s">
        <v>37</v>
      </c>
      <c r="J42" t="s">
        <v>656</v>
      </c>
      <c r="K42" t="s">
        <v>22</v>
      </c>
      <c r="L42" t="s">
        <v>137</v>
      </c>
      <c r="M42" t="str">
        <f>_xlfn.XLOOKUP(L42,Sheet11!C:C,Sheet11!A:A,"")</f>
        <v/>
      </c>
      <c r="N42" t="s">
        <v>154</v>
      </c>
      <c r="O42" t="s">
        <v>713</v>
      </c>
      <c r="P42" t="s">
        <v>155</v>
      </c>
      <c r="Q42" t="s">
        <v>734</v>
      </c>
      <c r="R42" t="s">
        <v>90</v>
      </c>
      <c r="S42" t="str">
        <f>_xlfn.XLOOKUP(R42,Sheet8!C:C,Sheet8!A:A,"")</f>
        <v>be1db140-88b0-4b68-a8be-531940183459</v>
      </c>
      <c r="T42" t="s">
        <v>100</v>
      </c>
      <c r="U42" t="s">
        <v>775</v>
      </c>
      <c r="V42">
        <v>1</v>
      </c>
      <c r="W42">
        <v>1</v>
      </c>
      <c r="X42">
        <v>1</v>
      </c>
      <c r="Y42" s="1">
        <v>44490</v>
      </c>
    </row>
    <row r="43" spans="2:25" x14ac:dyDescent="0.25">
      <c r="B43" t="s">
        <v>172</v>
      </c>
      <c r="C43" t="s">
        <v>173</v>
      </c>
      <c r="D43" t="s">
        <v>171</v>
      </c>
      <c r="E43" t="s">
        <v>520</v>
      </c>
      <c r="F43" t="s">
        <v>518</v>
      </c>
      <c r="G43" t="s">
        <v>37</v>
      </c>
      <c r="H43" t="s">
        <v>613</v>
      </c>
      <c r="I43" t="s">
        <v>37</v>
      </c>
      <c r="J43" t="s">
        <v>656</v>
      </c>
      <c r="K43" t="s">
        <v>22</v>
      </c>
      <c r="L43" t="s">
        <v>135</v>
      </c>
      <c r="M43" t="str">
        <f>_xlfn.XLOOKUP(L43,Sheet11!C:C,Sheet11!A:A,"")</f>
        <v>77902233-33a1-467d-8554-c8c2507e74ce</v>
      </c>
      <c r="N43" t="s">
        <v>154</v>
      </c>
      <c r="O43" t="s">
        <v>713</v>
      </c>
      <c r="P43" t="s">
        <v>155</v>
      </c>
      <c r="Q43" t="s">
        <v>734</v>
      </c>
      <c r="R43" t="s">
        <v>90</v>
      </c>
      <c r="S43" t="str">
        <f>_xlfn.XLOOKUP(R43,Sheet8!C:C,Sheet8!A:A,"")</f>
        <v>be1db140-88b0-4b68-a8be-531940183459</v>
      </c>
      <c r="T43" t="s">
        <v>100</v>
      </c>
      <c r="U43" t="s">
        <v>775</v>
      </c>
      <c r="V43">
        <v>1</v>
      </c>
      <c r="W43">
        <v>1</v>
      </c>
      <c r="X43">
        <v>1</v>
      </c>
      <c r="Y43" s="1">
        <v>44490</v>
      </c>
    </row>
    <row r="44" spans="2:25" x14ac:dyDescent="0.25">
      <c r="B44" t="s">
        <v>177</v>
      </c>
      <c r="C44" t="s">
        <v>178</v>
      </c>
      <c r="D44" t="s">
        <v>174</v>
      </c>
      <c r="E44" t="s">
        <v>520</v>
      </c>
      <c r="F44" t="s">
        <v>518</v>
      </c>
      <c r="G44" t="s">
        <v>37</v>
      </c>
      <c r="H44" t="s">
        <v>613</v>
      </c>
      <c r="I44" t="s">
        <v>79</v>
      </c>
      <c r="J44" t="s">
        <v>687</v>
      </c>
      <c r="K44" t="s">
        <v>22</v>
      </c>
      <c r="L44" t="s">
        <v>180</v>
      </c>
      <c r="M44" t="str">
        <f>_xlfn.XLOOKUP(L44,Sheet11!C:C,Sheet11!A:A,"")</f>
        <v/>
      </c>
      <c r="N44" t="s">
        <v>154</v>
      </c>
      <c r="O44" t="s">
        <v>713</v>
      </c>
      <c r="P44" t="s">
        <v>155</v>
      </c>
      <c r="Q44" t="s">
        <v>734</v>
      </c>
      <c r="R44" t="s">
        <v>90</v>
      </c>
      <c r="S44" t="str">
        <f>_xlfn.XLOOKUP(R44,Sheet8!C:C,Sheet8!A:A,"")</f>
        <v>be1db140-88b0-4b68-a8be-531940183459</v>
      </c>
      <c r="T44" t="s">
        <v>100</v>
      </c>
      <c r="U44" t="s">
        <v>775</v>
      </c>
      <c r="V44">
        <v>1</v>
      </c>
      <c r="W44">
        <v>1</v>
      </c>
      <c r="X44">
        <v>1</v>
      </c>
      <c r="Y44" s="1">
        <v>44927</v>
      </c>
    </row>
    <row r="45" spans="2:25" x14ac:dyDescent="0.25">
      <c r="B45" t="s">
        <v>172</v>
      </c>
      <c r="C45" t="s">
        <v>173</v>
      </c>
      <c r="D45" t="s">
        <v>175</v>
      </c>
      <c r="E45" t="s">
        <v>520</v>
      </c>
      <c r="F45" t="s">
        <v>518</v>
      </c>
      <c r="G45" t="s">
        <v>37</v>
      </c>
      <c r="H45" t="s">
        <v>613</v>
      </c>
      <c r="I45" t="s">
        <v>79</v>
      </c>
      <c r="J45" t="s">
        <v>687</v>
      </c>
      <c r="K45" t="s">
        <v>22</v>
      </c>
      <c r="L45" t="s">
        <v>135</v>
      </c>
      <c r="M45" t="str">
        <f>_xlfn.XLOOKUP(L45,Sheet11!C:C,Sheet11!A:A,"")</f>
        <v>77902233-33a1-467d-8554-c8c2507e74ce</v>
      </c>
      <c r="N45" t="s">
        <v>154</v>
      </c>
      <c r="O45" t="s">
        <v>713</v>
      </c>
      <c r="P45" t="s">
        <v>155</v>
      </c>
      <c r="Q45" t="s">
        <v>734</v>
      </c>
      <c r="R45" t="s">
        <v>90</v>
      </c>
      <c r="S45" t="str">
        <f>_xlfn.XLOOKUP(R45,Sheet8!C:C,Sheet8!A:A,"")</f>
        <v>be1db140-88b0-4b68-a8be-531940183459</v>
      </c>
      <c r="T45" t="s">
        <v>100</v>
      </c>
      <c r="U45" t="s">
        <v>775</v>
      </c>
      <c r="V45">
        <v>0</v>
      </c>
      <c r="W45">
        <v>1</v>
      </c>
      <c r="X45">
        <v>1</v>
      </c>
      <c r="Y45" s="1">
        <v>45678</v>
      </c>
    </row>
    <row r="46" spans="2:25" x14ac:dyDescent="0.25">
      <c r="B46" t="s">
        <v>172</v>
      </c>
      <c r="C46" t="s">
        <v>173</v>
      </c>
      <c r="D46" t="s">
        <v>176</v>
      </c>
      <c r="E46" t="s">
        <v>520</v>
      </c>
      <c r="F46" t="s">
        <v>518</v>
      </c>
      <c r="G46" t="s">
        <v>37</v>
      </c>
      <c r="H46" t="s">
        <v>613</v>
      </c>
      <c r="I46" t="s">
        <v>79</v>
      </c>
      <c r="J46" t="s">
        <v>687</v>
      </c>
      <c r="K46" t="s">
        <v>22</v>
      </c>
      <c r="L46" t="s">
        <v>137</v>
      </c>
      <c r="M46" t="str">
        <f>_xlfn.XLOOKUP(L46,Sheet11!C:C,Sheet11!A:A,"")</f>
        <v/>
      </c>
      <c r="N46" t="s">
        <v>154</v>
      </c>
      <c r="O46" t="s">
        <v>713</v>
      </c>
      <c r="P46" t="s">
        <v>155</v>
      </c>
      <c r="Q46" t="s">
        <v>734</v>
      </c>
      <c r="R46" t="s">
        <v>90</v>
      </c>
      <c r="S46" t="str">
        <f>_xlfn.XLOOKUP(R46,Sheet8!C:C,Sheet8!A:A,"")</f>
        <v>be1db140-88b0-4b68-a8be-531940183459</v>
      </c>
      <c r="T46" t="s">
        <v>100</v>
      </c>
      <c r="U46" t="s">
        <v>775</v>
      </c>
      <c r="V46">
        <v>0</v>
      </c>
      <c r="W46">
        <v>1</v>
      </c>
      <c r="X46">
        <v>1</v>
      </c>
      <c r="Y46" s="1">
        <v>45678</v>
      </c>
    </row>
    <row r="47" spans="2:25" x14ac:dyDescent="0.25">
      <c r="B47" t="s">
        <v>172</v>
      </c>
      <c r="C47" t="s">
        <v>173</v>
      </c>
      <c r="D47" t="s">
        <v>179</v>
      </c>
      <c r="E47" t="s">
        <v>520</v>
      </c>
      <c r="F47" t="s">
        <v>518</v>
      </c>
      <c r="G47" t="s">
        <v>37</v>
      </c>
      <c r="H47" t="s">
        <v>613</v>
      </c>
      <c r="I47" t="s">
        <v>79</v>
      </c>
      <c r="J47" t="s">
        <v>687</v>
      </c>
      <c r="K47" t="s">
        <v>22</v>
      </c>
      <c r="L47" t="s">
        <v>135</v>
      </c>
      <c r="M47" t="str">
        <f>_xlfn.XLOOKUP(L47,Sheet11!C:C,Sheet11!A:A,"")</f>
        <v>77902233-33a1-467d-8554-c8c2507e74ce</v>
      </c>
      <c r="N47" t="s">
        <v>154</v>
      </c>
      <c r="O47" t="s">
        <v>713</v>
      </c>
      <c r="P47" t="s">
        <v>155</v>
      </c>
      <c r="Q47" t="s">
        <v>734</v>
      </c>
      <c r="R47" t="s">
        <v>90</v>
      </c>
      <c r="S47" t="str">
        <f>_xlfn.XLOOKUP(R47,Sheet8!C:C,Sheet8!A:A,"")</f>
        <v>be1db140-88b0-4b68-a8be-531940183459</v>
      </c>
      <c r="T47" t="s">
        <v>100</v>
      </c>
      <c r="U47" t="s">
        <v>775</v>
      </c>
      <c r="V47">
        <v>0</v>
      </c>
      <c r="W47">
        <v>1</v>
      </c>
      <c r="X47">
        <v>1</v>
      </c>
      <c r="Y47" s="1">
        <v>45678</v>
      </c>
    </row>
    <row r="48" spans="2:25" x14ac:dyDescent="0.25">
      <c r="B48" t="s">
        <v>172</v>
      </c>
      <c r="C48" t="s">
        <v>173</v>
      </c>
      <c r="D48" t="s">
        <v>181</v>
      </c>
      <c r="E48" t="s">
        <v>520</v>
      </c>
      <c r="F48" t="s">
        <v>518</v>
      </c>
      <c r="G48" t="s">
        <v>37</v>
      </c>
      <c r="H48" t="s">
        <v>613</v>
      </c>
      <c r="I48" t="s">
        <v>79</v>
      </c>
      <c r="J48" t="s">
        <v>687</v>
      </c>
      <c r="K48" t="s">
        <v>22</v>
      </c>
      <c r="L48" t="s">
        <v>135</v>
      </c>
      <c r="M48" t="str">
        <f>_xlfn.XLOOKUP(L48,Sheet11!C:C,Sheet11!A:A,"")</f>
        <v>77902233-33a1-467d-8554-c8c2507e74ce</v>
      </c>
      <c r="N48" t="s">
        <v>154</v>
      </c>
      <c r="O48" t="s">
        <v>713</v>
      </c>
      <c r="P48" t="s">
        <v>155</v>
      </c>
      <c r="Q48" t="s">
        <v>734</v>
      </c>
      <c r="R48" t="s">
        <v>90</v>
      </c>
      <c r="S48" t="str">
        <f>_xlfn.XLOOKUP(R48,Sheet8!C:C,Sheet8!A:A,"")</f>
        <v>be1db140-88b0-4b68-a8be-531940183459</v>
      </c>
      <c r="T48" t="s">
        <v>100</v>
      </c>
      <c r="U48" t="s">
        <v>775</v>
      </c>
      <c r="V48">
        <v>1</v>
      </c>
      <c r="W48">
        <v>1</v>
      </c>
      <c r="X48">
        <v>1</v>
      </c>
      <c r="Y48" s="1">
        <v>45678</v>
      </c>
    </row>
    <row r="49" spans="2:25" x14ac:dyDescent="0.25">
      <c r="B49" t="s">
        <v>172</v>
      </c>
      <c r="C49" t="s">
        <v>173</v>
      </c>
      <c r="D49" t="s">
        <v>182</v>
      </c>
      <c r="E49" t="s">
        <v>520</v>
      </c>
      <c r="F49" t="s">
        <v>518</v>
      </c>
      <c r="G49" t="s">
        <v>37</v>
      </c>
      <c r="H49" t="s">
        <v>613</v>
      </c>
      <c r="I49" t="s">
        <v>79</v>
      </c>
      <c r="J49" t="s">
        <v>687</v>
      </c>
      <c r="K49" t="s">
        <v>22</v>
      </c>
      <c r="L49" t="s">
        <v>137</v>
      </c>
      <c r="M49" t="str">
        <f>_xlfn.XLOOKUP(L49,Sheet11!C:C,Sheet11!A:A,"")</f>
        <v/>
      </c>
      <c r="N49" t="s">
        <v>154</v>
      </c>
      <c r="O49" t="s">
        <v>713</v>
      </c>
      <c r="P49" t="s">
        <v>155</v>
      </c>
      <c r="Q49" t="s">
        <v>734</v>
      </c>
      <c r="R49" t="s">
        <v>90</v>
      </c>
      <c r="S49" t="str">
        <f>_xlfn.XLOOKUP(R49,Sheet8!C:C,Sheet8!A:A,"")</f>
        <v>be1db140-88b0-4b68-a8be-531940183459</v>
      </c>
      <c r="T49" t="s">
        <v>100</v>
      </c>
      <c r="U49" t="s">
        <v>775</v>
      </c>
      <c r="V49">
        <v>1</v>
      </c>
      <c r="W49">
        <v>1</v>
      </c>
      <c r="X49">
        <v>1</v>
      </c>
      <c r="Y49" s="1">
        <v>45678</v>
      </c>
    </row>
    <row r="50" spans="2:25" x14ac:dyDescent="0.25">
      <c r="B50" t="s">
        <v>172</v>
      </c>
      <c r="C50" t="s">
        <v>173</v>
      </c>
      <c r="D50" t="s">
        <v>183</v>
      </c>
      <c r="E50" t="s">
        <v>520</v>
      </c>
      <c r="F50" t="s">
        <v>518</v>
      </c>
      <c r="G50" t="s">
        <v>37</v>
      </c>
      <c r="H50" t="s">
        <v>613</v>
      </c>
      <c r="I50" t="s">
        <v>79</v>
      </c>
      <c r="J50" t="s">
        <v>687</v>
      </c>
      <c r="K50" t="s">
        <v>22</v>
      </c>
      <c r="L50" t="s">
        <v>135</v>
      </c>
      <c r="M50" t="str">
        <f>_xlfn.XLOOKUP(L50,Sheet11!C:C,Sheet11!A:A,"")</f>
        <v>77902233-33a1-467d-8554-c8c2507e74ce</v>
      </c>
      <c r="N50" t="s">
        <v>154</v>
      </c>
      <c r="O50" t="s">
        <v>713</v>
      </c>
      <c r="P50" t="s">
        <v>155</v>
      </c>
      <c r="Q50" t="s">
        <v>734</v>
      </c>
      <c r="R50" t="s">
        <v>90</v>
      </c>
      <c r="S50" t="str">
        <f>_xlfn.XLOOKUP(R50,Sheet8!C:C,Sheet8!A:A,"")</f>
        <v>be1db140-88b0-4b68-a8be-531940183459</v>
      </c>
      <c r="T50" t="s">
        <v>100</v>
      </c>
      <c r="U50" t="s">
        <v>775</v>
      </c>
      <c r="V50">
        <v>1</v>
      </c>
      <c r="W50">
        <v>1</v>
      </c>
      <c r="X50">
        <v>1</v>
      </c>
      <c r="Y50" s="1">
        <v>45678</v>
      </c>
    </row>
    <row r="51" spans="2:25" x14ac:dyDescent="0.25">
      <c r="B51" t="s">
        <v>187</v>
      </c>
      <c r="C51" t="s">
        <v>178</v>
      </c>
      <c r="D51" t="s">
        <v>184</v>
      </c>
      <c r="E51" t="s">
        <v>527</v>
      </c>
      <c r="F51" t="s">
        <v>525</v>
      </c>
      <c r="G51" t="s">
        <v>37</v>
      </c>
      <c r="H51" t="s">
        <v>613</v>
      </c>
      <c r="I51" t="s">
        <v>79</v>
      </c>
      <c r="J51" t="s">
        <v>687</v>
      </c>
      <c r="K51" t="s">
        <v>22</v>
      </c>
      <c r="L51" t="s">
        <v>180</v>
      </c>
      <c r="M51" t="str">
        <f>_xlfn.XLOOKUP(L51,Sheet11!C:C,Sheet11!A:A,"")</f>
        <v/>
      </c>
      <c r="N51" t="s">
        <v>154</v>
      </c>
      <c r="O51" t="s">
        <v>713</v>
      </c>
      <c r="P51" t="s">
        <v>155</v>
      </c>
      <c r="Q51" t="s">
        <v>734</v>
      </c>
      <c r="R51" t="s">
        <v>90</v>
      </c>
      <c r="S51" t="str">
        <f>_xlfn.XLOOKUP(R51,Sheet8!C:C,Sheet8!A:A,"")</f>
        <v>be1db140-88b0-4b68-a8be-531940183459</v>
      </c>
      <c r="T51" t="s">
        <v>100</v>
      </c>
      <c r="U51" t="s">
        <v>775</v>
      </c>
      <c r="V51">
        <v>1</v>
      </c>
      <c r="W51">
        <v>1</v>
      </c>
      <c r="X51">
        <v>1</v>
      </c>
      <c r="Y51" s="1">
        <v>44490</v>
      </c>
    </row>
    <row r="52" spans="2:25" x14ac:dyDescent="0.25">
      <c r="B52" t="s">
        <v>189</v>
      </c>
      <c r="C52" t="s">
        <v>190</v>
      </c>
      <c r="D52" t="s">
        <v>185</v>
      </c>
      <c r="E52" t="s">
        <v>192</v>
      </c>
      <c r="F52" t="s">
        <v>529</v>
      </c>
      <c r="G52" t="s">
        <v>37</v>
      </c>
      <c r="H52" t="s">
        <v>613</v>
      </c>
      <c r="I52" t="s">
        <v>79</v>
      </c>
      <c r="J52" t="s">
        <v>687</v>
      </c>
      <c r="K52" t="s">
        <v>22</v>
      </c>
      <c r="L52" t="s">
        <v>193</v>
      </c>
      <c r="M52" t="str">
        <f>_xlfn.XLOOKUP(L52,Sheet11!C:C,Sheet11!A:A,"")</f>
        <v/>
      </c>
      <c r="N52" t="s">
        <v>154</v>
      </c>
      <c r="O52" t="s">
        <v>713</v>
      </c>
      <c r="P52" t="s">
        <v>155</v>
      </c>
      <c r="Q52" t="s">
        <v>734</v>
      </c>
      <c r="R52" t="s">
        <v>90</v>
      </c>
      <c r="S52" t="str">
        <f>_xlfn.XLOOKUP(R52,Sheet8!C:C,Sheet8!A:A,"")</f>
        <v>be1db140-88b0-4b68-a8be-531940183459</v>
      </c>
      <c r="T52" t="s">
        <v>100</v>
      </c>
      <c r="U52" t="s">
        <v>775</v>
      </c>
      <c r="V52">
        <v>1</v>
      </c>
      <c r="W52">
        <v>1</v>
      </c>
      <c r="X52">
        <v>1</v>
      </c>
      <c r="Y52" s="1">
        <v>44641</v>
      </c>
    </row>
    <row r="53" spans="2:25" x14ac:dyDescent="0.25">
      <c r="B53" t="s">
        <v>194</v>
      </c>
      <c r="C53" t="s">
        <v>195</v>
      </c>
      <c r="D53" t="s">
        <v>186</v>
      </c>
      <c r="E53" t="s">
        <v>197</v>
      </c>
      <c r="F53" t="s">
        <v>545</v>
      </c>
      <c r="G53" t="s">
        <v>142</v>
      </c>
      <c r="H53" t="s">
        <v>601</v>
      </c>
      <c r="I53" t="s">
        <v>143</v>
      </c>
      <c r="J53" t="s">
        <v>665</v>
      </c>
      <c r="K53" t="s">
        <v>22</v>
      </c>
      <c r="L53" t="s">
        <v>198</v>
      </c>
      <c r="M53" t="str">
        <f>_xlfn.XLOOKUP(L53,Sheet11!C:C,Sheet11!A:A,"")</f>
        <v/>
      </c>
      <c r="N53" t="s">
        <v>24</v>
      </c>
      <c r="O53" t="s">
        <v>716</v>
      </c>
      <c r="P53" t="s">
        <v>25</v>
      </c>
      <c r="Q53" t="s">
        <v>737</v>
      </c>
      <c r="R53" t="s">
        <v>90</v>
      </c>
      <c r="S53" t="str">
        <f>_xlfn.XLOOKUP(R53,Sheet8!C:C,Sheet8!A:A,"")</f>
        <v>be1db140-88b0-4b68-a8be-531940183459</v>
      </c>
      <c r="T53" t="s">
        <v>100</v>
      </c>
      <c r="U53" t="s">
        <v>775</v>
      </c>
      <c r="V53">
        <v>1</v>
      </c>
      <c r="W53">
        <v>1</v>
      </c>
      <c r="X53">
        <v>1</v>
      </c>
      <c r="Y53" s="1">
        <v>44490</v>
      </c>
    </row>
    <row r="54" spans="2:25" x14ac:dyDescent="0.25">
      <c r="B54" t="s">
        <v>199</v>
      </c>
      <c r="C54" t="s">
        <v>200</v>
      </c>
      <c r="D54" t="s">
        <v>188</v>
      </c>
      <c r="E54" t="s">
        <v>197</v>
      </c>
      <c r="F54" t="s">
        <v>545</v>
      </c>
      <c r="G54" t="s">
        <v>142</v>
      </c>
      <c r="H54" t="s">
        <v>601</v>
      </c>
      <c r="I54" t="s">
        <v>143</v>
      </c>
      <c r="J54" t="s">
        <v>665</v>
      </c>
      <c r="K54" t="s">
        <v>96</v>
      </c>
      <c r="L54" t="s">
        <v>202</v>
      </c>
      <c r="M54" t="str">
        <f>_xlfn.XLOOKUP(L54,Sheet11!C:C,Sheet11!A:A,"")</f>
        <v/>
      </c>
      <c r="N54" t="s">
        <v>24</v>
      </c>
      <c r="O54" t="s">
        <v>716</v>
      </c>
      <c r="P54" t="s">
        <v>25</v>
      </c>
      <c r="Q54" t="s">
        <v>737</v>
      </c>
      <c r="R54" t="s">
        <v>90</v>
      </c>
      <c r="S54" t="str">
        <f>_xlfn.XLOOKUP(R54,Sheet8!C:C,Sheet8!A:A,"")</f>
        <v>be1db140-88b0-4b68-a8be-531940183459</v>
      </c>
      <c r="T54" t="s">
        <v>100</v>
      </c>
      <c r="U54" t="s">
        <v>775</v>
      </c>
      <c r="V54">
        <v>1</v>
      </c>
      <c r="W54">
        <v>1</v>
      </c>
      <c r="X54">
        <v>1</v>
      </c>
      <c r="Y54" s="1">
        <v>46043</v>
      </c>
    </row>
    <row r="55" spans="2:25" x14ac:dyDescent="0.25">
      <c r="B55" t="s">
        <v>203</v>
      </c>
      <c r="C55" t="s">
        <v>204</v>
      </c>
      <c r="D55" t="s">
        <v>191</v>
      </c>
      <c r="E55" t="s">
        <v>206</v>
      </c>
      <c r="F55" t="s">
        <v>497</v>
      </c>
      <c r="G55" t="s">
        <v>49</v>
      </c>
      <c r="H55" t="s">
        <v>592</v>
      </c>
      <c r="I55" t="s">
        <v>108</v>
      </c>
      <c r="J55" t="s">
        <v>647</v>
      </c>
      <c r="K55" t="s">
        <v>22</v>
      </c>
      <c r="M55">
        <f>_xlfn.XLOOKUP(L55,Sheet11!C:C,Sheet11!A:A,"")</f>
        <v>0</v>
      </c>
      <c r="N55" t="s">
        <v>24</v>
      </c>
      <c r="O55" t="s">
        <v>716</v>
      </c>
      <c r="P55" t="s">
        <v>207</v>
      </c>
      <c r="Q55" t="s">
        <v>747</v>
      </c>
      <c r="R55" t="s">
        <v>90</v>
      </c>
      <c r="S55" t="str">
        <f>_xlfn.XLOOKUP(R55,Sheet8!C:C,Sheet8!A:A,"")</f>
        <v>be1db140-88b0-4b68-a8be-531940183459</v>
      </c>
      <c r="T55" t="s">
        <v>100</v>
      </c>
      <c r="U55" t="s">
        <v>775</v>
      </c>
      <c r="V55">
        <v>1</v>
      </c>
      <c r="W55">
        <v>1</v>
      </c>
      <c r="X55">
        <v>1</v>
      </c>
      <c r="Y55" s="1">
        <v>45658</v>
      </c>
    </row>
    <row r="56" spans="2:25" x14ac:dyDescent="0.25">
      <c r="B56" t="s">
        <v>208</v>
      </c>
      <c r="C56" t="s">
        <v>209</v>
      </c>
      <c r="D56" t="s">
        <v>196</v>
      </c>
      <c r="E56" t="s">
        <v>211</v>
      </c>
      <c r="F56" t="s">
        <v>532</v>
      </c>
      <c r="G56" t="s">
        <v>37</v>
      </c>
      <c r="H56" t="s">
        <v>613</v>
      </c>
      <c r="I56" t="s">
        <v>37</v>
      </c>
      <c r="J56" t="s">
        <v>656</v>
      </c>
      <c r="K56" t="s">
        <v>22</v>
      </c>
      <c r="L56" t="s">
        <v>39</v>
      </c>
      <c r="M56" t="str">
        <f>_xlfn.XLOOKUP(L56,Sheet11!C:C,Sheet11!A:A,"")</f>
        <v>bc8fd694-29c1-454e-ba8c-d68f1f977187</v>
      </c>
      <c r="N56" t="s">
        <v>24</v>
      </c>
      <c r="O56" t="s">
        <v>716</v>
      </c>
      <c r="P56" t="s">
        <v>207</v>
      </c>
      <c r="Q56" t="s">
        <v>747</v>
      </c>
      <c r="R56" t="s">
        <v>90</v>
      </c>
      <c r="S56" t="str">
        <f>_xlfn.XLOOKUP(R56,Sheet8!C:C,Sheet8!A:A,"")</f>
        <v>be1db140-88b0-4b68-a8be-531940183459</v>
      </c>
      <c r="T56" t="s">
        <v>100</v>
      </c>
      <c r="U56" t="s">
        <v>775</v>
      </c>
      <c r="V56">
        <v>1</v>
      </c>
      <c r="W56">
        <v>1</v>
      </c>
      <c r="X56">
        <v>1</v>
      </c>
      <c r="Y56" s="1">
        <v>44564</v>
      </c>
    </row>
    <row r="57" spans="2:25" x14ac:dyDescent="0.25">
      <c r="B57" t="s">
        <v>212</v>
      </c>
      <c r="C57" t="s">
        <v>180</v>
      </c>
      <c r="D57" t="s">
        <v>201</v>
      </c>
      <c r="E57" t="s">
        <v>211</v>
      </c>
      <c r="F57" t="s">
        <v>532</v>
      </c>
      <c r="G57" t="s">
        <v>37</v>
      </c>
      <c r="H57" t="s">
        <v>613</v>
      </c>
      <c r="I57" t="s">
        <v>79</v>
      </c>
      <c r="J57" t="s">
        <v>687</v>
      </c>
      <c r="K57" t="s">
        <v>22</v>
      </c>
      <c r="L57" t="s">
        <v>76</v>
      </c>
      <c r="M57" t="str">
        <f>_xlfn.XLOOKUP(L57,Sheet11!C:C,Sheet11!A:A,"")</f>
        <v/>
      </c>
      <c r="N57" t="s">
        <v>24</v>
      </c>
      <c r="O57" t="s">
        <v>716</v>
      </c>
      <c r="P57" t="s">
        <v>207</v>
      </c>
      <c r="Q57" t="s">
        <v>747</v>
      </c>
      <c r="R57" t="s">
        <v>90</v>
      </c>
      <c r="S57" t="str">
        <f>_xlfn.XLOOKUP(R57,Sheet8!C:C,Sheet8!A:A,"")</f>
        <v>be1db140-88b0-4b68-a8be-531940183459</v>
      </c>
      <c r="T57" t="s">
        <v>100</v>
      </c>
      <c r="U57" t="s">
        <v>775</v>
      </c>
      <c r="V57">
        <v>1</v>
      </c>
      <c r="W57">
        <v>1</v>
      </c>
      <c r="X57">
        <v>1</v>
      </c>
      <c r="Y57" s="1">
        <v>44927</v>
      </c>
    </row>
    <row r="58" spans="2:25" x14ac:dyDescent="0.25">
      <c r="B58" t="s">
        <v>214</v>
      </c>
      <c r="C58" t="s">
        <v>137</v>
      </c>
      <c r="D58" t="s">
        <v>205</v>
      </c>
      <c r="E58" t="s">
        <v>211</v>
      </c>
      <c r="F58" t="s">
        <v>532</v>
      </c>
      <c r="G58" t="s">
        <v>37</v>
      </c>
      <c r="H58" t="s">
        <v>613</v>
      </c>
      <c r="I58" t="s">
        <v>79</v>
      </c>
      <c r="J58" t="s">
        <v>687</v>
      </c>
      <c r="K58" t="s">
        <v>22</v>
      </c>
      <c r="L58" t="s">
        <v>216</v>
      </c>
      <c r="M58" t="str">
        <f>_xlfn.XLOOKUP(L58,Sheet11!C:C,Sheet11!A:A,"")</f>
        <v/>
      </c>
      <c r="N58" t="s">
        <v>24</v>
      </c>
      <c r="O58" t="s">
        <v>716</v>
      </c>
      <c r="P58" t="s">
        <v>207</v>
      </c>
      <c r="Q58" t="s">
        <v>747</v>
      </c>
      <c r="R58" t="s">
        <v>90</v>
      </c>
      <c r="S58" t="str">
        <f>_xlfn.XLOOKUP(R58,Sheet8!C:C,Sheet8!A:A,"")</f>
        <v>be1db140-88b0-4b68-a8be-531940183459</v>
      </c>
      <c r="T58" t="s">
        <v>100</v>
      </c>
      <c r="U58" t="s">
        <v>775</v>
      </c>
      <c r="V58">
        <v>0</v>
      </c>
      <c r="W58">
        <v>1</v>
      </c>
      <c r="X58">
        <v>1</v>
      </c>
      <c r="Y58" s="1">
        <v>45678</v>
      </c>
    </row>
    <row r="59" spans="2:25" x14ac:dyDescent="0.25">
      <c r="B59" t="s">
        <v>214</v>
      </c>
      <c r="C59" t="s">
        <v>137</v>
      </c>
      <c r="D59" t="s">
        <v>210</v>
      </c>
      <c r="E59" t="s">
        <v>211</v>
      </c>
      <c r="F59" t="s">
        <v>532</v>
      </c>
      <c r="G59" t="s">
        <v>37</v>
      </c>
      <c r="H59" t="s">
        <v>613</v>
      </c>
      <c r="I59" t="s">
        <v>79</v>
      </c>
      <c r="J59" t="s">
        <v>687</v>
      </c>
      <c r="K59" t="s">
        <v>22</v>
      </c>
      <c r="L59" t="s">
        <v>216</v>
      </c>
      <c r="M59" t="str">
        <f>_xlfn.XLOOKUP(L59,Sheet11!C:C,Sheet11!A:A,"")</f>
        <v/>
      </c>
      <c r="N59" t="s">
        <v>24</v>
      </c>
      <c r="O59" t="s">
        <v>716</v>
      </c>
      <c r="P59" t="s">
        <v>207</v>
      </c>
      <c r="Q59" t="s">
        <v>747</v>
      </c>
      <c r="R59" t="s">
        <v>90</v>
      </c>
      <c r="S59" t="str">
        <f>_xlfn.XLOOKUP(R59,Sheet8!C:C,Sheet8!A:A,"")</f>
        <v>be1db140-88b0-4b68-a8be-531940183459</v>
      </c>
      <c r="T59" t="s">
        <v>100</v>
      </c>
      <c r="U59" t="s">
        <v>775</v>
      </c>
      <c r="V59">
        <v>0</v>
      </c>
      <c r="W59">
        <v>1</v>
      </c>
      <c r="X59">
        <v>1</v>
      </c>
      <c r="Y59" s="1">
        <v>45678</v>
      </c>
    </row>
    <row r="60" spans="2:25" x14ac:dyDescent="0.25">
      <c r="B60" t="s">
        <v>214</v>
      </c>
      <c r="C60" t="s">
        <v>137</v>
      </c>
      <c r="D60" t="s">
        <v>213</v>
      </c>
      <c r="E60" t="s">
        <v>211</v>
      </c>
      <c r="F60" t="s">
        <v>532</v>
      </c>
      <c r="G60" t="s">
        <v>37</v>
      </c>
      <c r="H60" t="s">
        <v>613</v>
      </c>
      <c r="I60" t="s">
        <v>79</v>
      </c>
      <c r="J60" t="s">
        <v>687</v>
      </c>
      <c r="K60" t="s">
        <v>22</v>
      </c>
      <c r="L60" t="s">
        <v>216</v>
      </c>
      <c r="M60" t="str">
        <f>_xlfn.XLOOKUP(L60,Sheet11!C:C,Sheet11!A:A,"")</f>
        <v/>
      </c>
      <c r="N60" t="s">
        <v>24</v>
      </c>
      <c r="O60" t="s">
        <v>716</v>
      </c>
      <c r="P60" t="s">
        <v>207</v>
      </c>
      <c r="Q60" t="s">
        <v>747</v>
      </c>
      <c r="R60" t="s">
        <v>90</v>
      </c>
      <c r="S60" t="str">
        <f>_xlfn.XLOOKUP(R60,Sheet8!C:C,Sheet8!A:A,"")</f>
        <v>be1db140-88b0-4b68-a8be-531940183459</v>
      </c>
      <c r="T60" t="s">
        <v>100</v>
      </c>
      <c r="U60" t="s">
        <v>775</v>
      </c>
      <c r="V60">
        <v>0</v>
      </c>
      <c r="W60">
        <v>1</v>
      </c>
      <c r="X60">
        <v>1</v>
      </c>
      <c r="Y60" s="1">
        <v>45678</v>
      </c>
    </row>
    <row r="61" spans="2:25" x14ac:dyDescent="0.25">
      <c r="B61" t="s">
        <v>219</v>
      </c>
      <c r="C61" t="s">
        <v>220</v>
      </c>
      <c r="D61" t="s">
        <v>215</v>
      </c>
      <c r="E61" t="s">
        <v>211</v>
      </c>
      <c r="F61" t="s">
        <v>532</v>
      </c>
      <c r="G61" t="s">
        <v>37</v>
      </c>
      <c r="H61" t="s">
        <v>613</v>
      </c>
      <c r="I61" t="s">
        <v>79</v>
      </c>
      <c r="J61" t="s">
        <v>687</v>
      </c>
      <c r="K61" t="s">
        <v>22</v>
      </c>
      <c r="L61" t="s">
        <v>76</v>
      </c>
      <c r="M61" t="str">
        <f>_xlfn.XLOOKUP(L61,Sheet11!C:C,Sheet11!A:A,"")</f>
        <v/>
      </c>
      <c r="N61" t="s">
        <v>24</v>
      </c>
      <c r="O61" t="s">
        <v>716</v>
      </c>
      <c r="P61" t="s">
        <v>207</v>
      </c>
      <c r="Q61" t="s">
        <v>747</v>
      </c>
      <c r="R61" t="s">
        <v>90</v>
      </c>
      <c r="S61" t="str">
        <f>_xlfn.XLOOKUP(R61,Sheet8!C:C,Sheet8!A:A,"")</f>
        <v>be1db140-88b0-4b68-a8be-531940183459</v>
      </c>
      <c r="T61" t="s">
        <v>100</v>
      </c>
      <c r="U61" t="s">
        <v>775</v>
      </c>
      <c r="V61">
        <v>1</v>
      </c>
      <c r="W61">
        <v>1</v>
      </c>
      <c r="X61">
        <v>1</v>
      </c>
      <c r="Y61" s="1">
        <v>46023</v>
      </c>
    </row>
    <row r="62" spans="2:25" x14ac:dyDescent="0.25">
      <c r="B62" t="s">
        <v>222</v>
      </c>
      <c r="C62" t="s">
        <v>198</v>
      </c>
      <c r="D62" t="s">
        <v>217</v>
      </c>
      <c r="E62" t="s">
        <v>197</v>
      </c>
      <c r="F62" t="s">
        <v>545</v>
      </c>
      <c r="G62" t="s">
        <v>142</v>
      </c>
      <c r="H62" t="s">
        <v>601</v>
      </c>
      <c r="I62" t="s">
        <v>143</v>
      </c>
      <c r="J62" t="s">
        <v>665</v>
      </c>
      <c r="K62" t="s">
        <v>22</v>
      </c>
      <c r="L62" t="s">
        <v>144</v>
      </c>
      <c r="M62" t="str">
        <f>_xlfn.XLOOKUP(L62,Sheet11!C:C,Sheet11!A:A,"")</f>
        <v/>
      </c>
      <c r="N62" t="s">
        <v>24</v>
      </c>
      <c r="O62" t="s">
        <v>716</v>
      </c>
      <c r="P62" t="s">
        <v>207</v>
      </c>
      <c r="Q62" t="s">
        <v>747</v>
      </c>
      <c r="R62" t="s">
        <v>90</v>
      </c>
      <c r="S62" t="str">
        <f>_xlfn.XLOOKUP(R62,Sheet8!C:C,Sheet8!A:A,"")</f>
        <v>be1db140-88b0-4b68-a8be-531940183459</v>
      </c>
      <c r="T62" t="s">
        <v>100</v>
      </c>
      <c r="U62" t="s">
        <v>775</v>
      </c>
      <c r="V62">
        <v>1</v>
      </c>
      <c r="W62">
        <v>1</v>
      </c>
      <c r="X62">
        <v>1</v>
      </c>
      <c r="Y62" s="1">
        <v>44490</v>
      </c>
    </row>
    <row r="63" spans="2:25" x14ac:dyDescent="0.25">
      <c r="B63" t="s">
        <v>224</v>
      </c>
      <c r="C63" t="s">
        <v>144</v>
      </c>
      <c r="D63" t="s">
        <v>218</v>
      </c>
      <c r="E63" t="s">
        <v>197</v>
      </c>
      <c r="F63" t="s">
        <v>545</v>
      </c>
      <c r="G63" t="s">
        <v>142</v>
      </c>
      <c r="H63" t="s">
        <v>601</v>
      </c>
      <c r="I63" t="s">
        <v>143</v>
      </c>
      <c r="J63" t="s">
        <v>665</v>
      </c>
      <c r="K63" t="s">
        <v>22</v>
      </c>
      <c r="L63" t="s">
        <v>226</v>
      </c>
      <c r="M63" t="str">
        <f>_xlfn.XLOOKUP(L63,Sheet11!C:C,Sheet11!A:A,"")</f>
        <v/>
      </c>
      <c r="N63" t="s">
        <v>24</v>
      </c>
      <c r="O63" t="s">
        <v>716</v>
      </c>
      <c r="P63" t="s">
        <v>207</v>
      </c>
      <c r="Q63" t="s">
        <v>747</v>
      </c>
      <c r="R63" t="s">
        <v>90</v>
      </c>
      <c r="S63" t="str">
        <f>_xlfn.XLOOKUP(R63,Sheet8!C:C,Sheet8!A:A,"")</f>
        <v>be1db140-88b0-4b68-a8be-531940183459</v>
      </c>
      <c r="T63" t="s">
        <v>100</v>
      </c>
      <c r="U63" t="s">
        <v>775</v>
      </c>
      <c r="V63">
        <v>1</v>
      </c>
      <c r="W63">
        <v>1</v>
      </c>
      <c r="X63">
        <v>1</v>
      </c>
      <c r="Y63" s="1">
        <v>44490</v>
      </c>
    </row>
    <row r="64" spans="2:25" x14ac:dyDescent="0.25">
      <c r="B64" t="s">
        <v>227</v>
      </c>
      <c r="C64" t="s">
        <v>202</v>
      </c>
      <c r="D64" t="s">
        <v>221</v>
      </c>
      <c r="E64" t="s">
        <v>197</v>
      </c>
      <c r="F64" t="s">
        <v>545</v>
      </c>
      <c r="G64" t="s">
        <v>142</v>
      </c>
      <c r="H64" t="s">
        <v>601</v>
      </c>
      <c r="I64" t="s">
        <v>143</v>
      </c>
      <c r="J64" t="s">
        <v>665</v>
      </c>
      <c r="K64" t="s">
        <v>22</v>
      </c>
      <c r="L64" t="s">
        <v>144</v>
      </c>
      <c r="M64" t="str">
        <f>_xlfn.XLOOKUP(L64,Sheet11!C:C,Sheet11!A:A,"")</f>
        <v/>
      </c>
      <c r="N64" t="s">
        <v>24</v>
      </c>
      <c r="O64" t="s">
        <v>716</v>
      </c>
      <c r="P64" t="s">
        <v>207</v>
      </c>
      <c r="Q64" t="s">
        <v>747</v>
      </c>
      <c r="R64" t="s">
        <v>90</v>
      </c>
      <c r="S64" t="str">
        <f>_xlfn.XLOOKUP(R64,Sheet8!C:C,Sheet8!A:A,"")</f>
        <v>be1db140-88b0-4b68-a8be-531940183459</v>
      </c>
      <c r="T64" t="s">
        <v>100</v>
      </c>
      <c r="U64" t="s">
        <v>775</v>
      </c>
      <c r="V64">
        <v>1</v>
      </c>
      <c r="W64">
        <v>1</v>
      </c>
      <c r="X64">
        <v>1</v>
      </c>
      <c r="Y64" s="1">
        <v>44197</v>
      </c>
    </row>
    <row r="65" spans="2:25" x14ac:dyDescent="0.25">
      <c r="B65" t="s">
        <v>229</v>
      </c>
      <c r="C65" t="s">
        <v>230</v>
      </c>
      <c r="D65" t="s">
        <v>223</v>
      </c>
      <c r="E65" t="s">
        <v>211</v>
      </c>
      <c r="F65" t="s">
        <v>532</v>
      </c>
      <c r="G65" t="s">
        <v>37</v>
      </c>
      <c r="H65" t="s">
        <v>613</v>
      </c>
      <c r="I65" t="s">
        <v>37</v>
      </c>
      <c r="J65" t="s">
        <v>656</v>
      </c>
      <c r="K65" t="s">
        <v>22</v>
      </c>
      <c r="L65" t="s">
        <v>39</v>
      </c>
      <c r="M65" t="str">
        <f>_xlfn.XLOOKUP(L65,Sheet11!C:C,Sheet11!A:A,"")</f>
        <v>bc8fd694-29c1-454e-ba8c-d68f1f977187</v>
      </c>
      <c r="N65" t="s">
        <v>24</v>
      </c>
      <c r="O65" t="s">
        <v>716</v>
      </c>
      <c r="P65" t="s">
        <v>207</v>
      </c>
      <c r="Q65" t="s">
        <v>747</v>
      </c>
      <c r="R65" t="s">
        <v>232</v>
      </c>
      <c r="S65" t="str">
        <f>_xlfn.XLOOKUP(R65,Sheet8!C:C,Sheet8!A:A,"")</f>
        <v>1a28660d-6784-405c-92cc-d65248bfbfd4</v>
      </c>
      <c r="T65" t="s">
        <v>100</v>
      </c>
      <c r="U65" t="s">
        <v>775</v>
      </c>
      <c r="V65">
        <v>1</v>
      </c>
      <c r="W65">
        <v>1</v>
      </c>
      <c r="X65">
        <v>1</v>
      </c>
      <c r="Y65" s="1">
        <v>44564</v>
      </c>
    </row>
    <row r="66" spans="2:25" x14ac:dyDescent="0.25">
      <c r="B66" t="s">
        <v>233</v>
      </c>
      <c r="C66" t="s">
        <v>234</v>
      </c>
      <c r="D66" t="s">
        <v>225</v>
      </c>
      <c r="E66" t="s">
        <v>94</v>
      </c>
      <c r="F66" t="s">
        <v>575</v>
      </c>
      <c r="G66" t="s">
        <v>20</v>
      </c>
      <c r="H66" t="s">
        <v>588</v>
      </c>
      <c r="I66" t="s">
        <v>21</v>
      </c>
      <c r="J66" t="s">
        <v>694</v>
      </c>
      <c r="K66" t="s">
        <v>96</v>
      </c>
      <c r="L66" t="s">
        <v>236</v>
      </c>
      <c r="M66" t="str">
        <f>_xlfn.XLOOKUP(L66,Sheet11!C:C,Sheet11!A:A,"")</f>
        <v/>
      </c>
      <c r="N66" t="s">
        <v>98</v>
      </c>
      <c r="O66" t="s">
        <v>710</v>
      </c>
      <c r="P66" t="s">
        <v>99</v>
      </c>
      <c r="Q66" t="s">
        <v>731</v>
      </c>
      <c r="R66" t="s">
        <v>26</v>
      </c>
      <c r="S66" t="str">
        <f>_xlfn.XLOOKUP(R66,Sheet8!C:C,Sheet8!A:A,"")</f>
        <v>09f6626a-fa13-4fea-a785-01671ff4e85e</v>
      </c>
      <c r="T66" t="s">
        <v>237</v>
      </c>
      <c r="U66" t="s">
        <v>778</v>
      </c>
      <c r="V66">
        <v>1</v>
      </c>
      <c r="W66">
        <v>1</v>
      </c>
      <c r="X66">
        <v>1</v>
      </c>
      <c r="Y66" s="1">
        <v>45713</v>
      </c>
    </row>
    <row r="67" spans="2:25" x14ac:dyDescent="0.25">
      <c r="B67" t="s">
        <v>238</v>
      </c>
      <c r="C67" t="s">
        <v>239</v>
      </c>
      <c r="D67" t="s">
        <v>228</v>
      </c>
      <c r="E67" t="s">
        <v>94</v>
      </c>
      <c r="F67" t="s">
        <v>575</v>
      </c>
      <c r="G67" t="s">
        <v>20</v>
      </c>
      <c r="H67" t="s">
        <v>588</v>
      </c>
      <c r="I67" t="s">
        <v>21</v>
      </c>
      <c r="J67" t="s">
        <v>694</v>
      </c>
      <c r="K67" t="s">
        <v>96</v>
      </c>
      <c r="L67" t="s">
        <v>23</v>
      </c>
      <c r="M67" t="str">
        <f>_xlfn.XLOOKUP(L67,Sheet11!C:C,Sheet11!A:A,"")</f>
        <v>2d22cf03-e3da-4e44-be90-66770884d540</v>
      </c>
      <c r="N67" t="s">
        <v>98</v>
      </c>
      <c r="O67" t="s">
        <v>710</v>
      </c>
      <c r="P67" t="s">
        <v>99</v>
      </c>
      <c r="Q67" t="s">
        <v>731</v>
      </c>
      <c r="R67" t="s">
        <v>26</v>
      </c>
      <c r="S67" t="str">
        <f>_xlfn.XLOOKUP(R67,Sheet8!C:C,Sheet8!A:A,"")</f>
        <v>09f6626a-fa13-4fea-a785-01671ff4e85e</v>
      </c>
      <c r="T67" t="s">
        <v>237</v>
      </c>
      <c r="U67" t="s">
        <v>778</v>
      </c>
      <c r="V67">
        <v>1</v>
      </c>
      <c r="W67">
        <v>1</v>
      </c>
      <c r="X67">
        <v>1</v>
      </c>
      <c r="Y67" s="1">
        <v>42736</v>
      </c>
    </row>
    <row r="68" spans="2:25" x14ac:dyDescent="0.25">
      <c r="B68" t="s">
        <v>241</v>
      </c>
      <c r="C68" t="s">
        <v>242</v>
      </c>
      <c r="D68" t="s">
        <v>231</v>
      </c>
      <c r="E68" t="s">
        <v>94</v>
      </c>
      <c r="F68" t="s">
        <v>575</v>
      </c>
      <c r="G68" t="s">
        <v>49</v>
      </c>
      <c r="H68" t="s">
        <v>592</v>
      </c>
      <c r="I68" t="s">
        <v>49</v>
      </c>
      <c r="J68" t="s">
        <v>637</v>
      </c>
      <c r="K68" t="s">
        <v>96</v>
      </c>
      <c r="L68" t="s">
        <v>244</v>
      </c>
      <c r="M68" t="str">
        <f>_xlfn.XLOOKUP(L68,Sheet11!C:C,Sheet11!A:A,"")</f>
        <v/>
      </c>
      <c r="N68" t="s">
        <v>98</v>
      </c>
      <c r="O68" t="s">
        <v>710</v>
      </c>
      <c r="P68" t="s">
        <v>99</v>
      </c>
      <c r="Q68" t="s">
        <v>731</v>
      </c>
      <c r="R68" t="s">
        <v>26</v>
      </c>
      <c r="S68" t="str">
        <f>_xlfn.XLOOKUP(R68,Sheet8!C:C,Sheet8!A:A,"")</f>
        <v>09f6626a-fa13-4fea-a785-01671ff4e85e</v>
      </c>
      <c r="T68" t="s">
        <v>237</v>
      </c>
      <c r="U68" t="s">
        <v>778</v>
      </c>
      <c r="V68">
        <v>1</v>
      </c>
      <c r="W68">
        <v>1</v>
      </c>
      <c r="X68">
        <v>1</v>
      </c>
      <c r="Y68" s="1">
        <v>45713</v>
      </c>
    </row>
    <row r="69" spans="2:25" x14ac:dyDescent="0.25">
      <c r="B69" t="s">
        <v>245</v>
      </c>
      <c r="C69" t="s">
        <v>246</v>
      </c>
      <c r="D69" t="s">
        <v>235</v>
      </c>
      <c r="E69" t="s">
        <v>94</v>
      </c>
      <c r="F69" t="s">
        <v>575</v>
      </c>
      <c r="G69" t="s">
        <v>49</v>
      </c>
      <c r="H69" t="s">
        <v>592</v>
      </c>
      <c r="I69" t="s">
        <v>49</v>
      </c>
      <c r="J69" t="s">
        <v>637</v>
      </c>
      <c r="K69" t="s">
        <v>96</v>
      </c>
      <c r="L69" t="s">
        <v>248</v>
      </c>
      <c r="M69" t="str">
        <f>_xlfn.XLOOKUP(L69,Sheet11!C:C,Sheet11!A:A,"")</f>
        <v/>
      </c>
      <c r="N69" t="s">
        <v>98</v>
      </c>
      <c r="O69" t="s">
        <v>710</v>
      </c>
      <c r="P69" t="s">
        <v>99</v>
      </c>
      <c r="Q69" t="s">
        <v>731</v>
      </c>
      <c r="R69" t="s">
        <v>26</v>
      </c>
      <c r="S69" t="str">
        <f>_xlfn.XLOOKUP(R69,Sheet8!C:C,Sheet8!A:A,"")</f>
        <v>09f6626a-fa13-4fea-a785-01671ff4e85e</v>
      </c>
      <c r="T69" t="s">
        <v>237</v>
      </c>
      <c r="U69" t="s">
        <v>778</v>
      </c>
      <c r="V69">
        <v>1</v>
      </c>
      <c r="W69">
        <v>1</v>
      </c>
      <c r="X69">
        <v>1</v>
      </c>
      <c r="Y69" s="1">
        <v>45713</v>
      </c>
    </row>
    <row r="70" spans="2:25" x14ac:dyDescent="0.25">
      <c r="B70" t="s">
        <v>249</v>
      </c>
      <c r="C70" t="s">
        <v>250</v>
      </c>
      <c r="D70" t="s">
        <v>240</v>
      </c>
      <c r="E70" t="s">
        <v>94</v>
      </c>
      <c r="F70" t="s">
        <v>575</v>
      </c>
      <c r="G70" t="s">
        <v>49</v>
      </c>
      <c r="H70" t="s">
        <v>592</v>
      </c>
      <c r="I70" t="s">
        <v>49</v>
      </c>
      <c r="J70" t="s">
        <v>637</v>
      </c>
      <c r="K70" t="s">
        <v>96</v>
      </c>
      <c r="L70" t="s">
        <v>248</v>
      </c>
      <c r="M70" t="str">
        <f>_xlfn.XLOOKUP(L70,Sheet11!C:C,Sheet11!A:A,"")</f>
        <v/>
      </c>
      <c r="N70" t="s">
        <v>98</v>
      </c>
      <c r="O70" t="s">
        <v>710</v>
      </c>
      <c r="P70" t="s">
        <v>99</v>
      </c>
      <c r="Q70" t="s">
        <v>731</v>
      </c>
      <c r="R70" t="s">
        <v>26</v>
      </c>
      <c r="S70" t="str">
        <f>_xlfn.XLOOKUP(R70,Sheet8!C:C,Sheet8!A:A,"")</f>
        <v>09f6626a-fa13-4fea-a785-01671ff4e85e</v>
      </c>
      <c r="T70" t="s">
        <v>237</v>
      </c>
      <c r="U70" t="s">
        <v>778</v>
      </c>
      <c r="V70">
        <v>1</v>
      </c>
      <c r="W70">
        <v>1</v>
      </c>
      <c r="X70">
        <v>1</v>
      </c>
      <c r="Y70" s="1">
        <v>45662</v>
      </c>
    </row>
    <row r="71" spans="2:25" x14ac:dyDescent="0.25">
      <c r="B71" t="s">
        <v>252</v>
      </c>
      <c r="C71" t="s">
        <v>253</v>
      </c>
      <c r="D71" t="s">
        <v>243</v>
      </c>
      <c r="E71" t="s">
        <v>94</v>
      </c>
      <c r="F71" t="s">
        <v>575</v>
      </c>
      <c r="G71" t="s">
        <v>37</v>
      </c>
      <c r="H71" t="s">
        <v>613</v>
      </c>
      <c r="I71" t="s">
        <v>37</v>
      </c>
      <c r="J71" t="s">
        <v>656</v>
      </c>
      <c r="K71" t="s">
        <v>96</v>
      </c>
      <c r="L71" t="s">
        <v>255</v>
      </c>
      <c r="M71" t="str">
        <f>_xlfn.XLOOKUP(L71,Sheet11!C:C,Sheet11!A:A,"")</f>
        <v>312535e7-65c1-4baf-9b08-df8f0d282c02</v>
      </c>
      <c r="N71" t="s">
        <v>98</v>
      </c>
      <c r="O71" t="s">
        <v>710</v>
      </c>
      <c r="P71" t="s">
        <v>99</v>
      </c>
      <c r="Q71" t="s">
        <v>731</v>
      </c>
      <c r="R71" t="s">
        <v>26</v>
      </c>
      <c r="S71" t="str">
        <f>_xlfn.XLOOKUP(R71,Sheet8!C:C,Sheet8!A:A,"")</f>
        <v>09f6626a-fa13-4fea-a785-01671ff4e85e</v>
      </c>
      <c r="T71" t="s">
        <v>237</v>
      </c>
      <c r="U71" t="s">
        <v>778</v>
      </c>
      <c r="V71">
        <v>1</v>
      </c>
      <c r="W71">
        <v>1</v>
      </c>
      <c r="X71">
        <v>1</v>
      </c>
      <c r="Y71" s="1">
        <v>45754</v>
      </c>
    </row>
    <row r="72" spans="2:25" x14ac:dyDescent="0.25">
      <c r="B72" t="s">
        <v>256</v>
      </c>
      <c r="C72" t="s">
        <v>257</v>
      </c>
      <c r="D72" t="s">
        <v>247</v>
      </c>
      <c r="E72" t="s">
        <v>94</v>
      </c>
      <c r="F72" t="s">
        <v>575</v>
      </c>
      <c r="G72" t="s">
        <v>37</v>
      </c>
      <c r="H72" t="s">
        <v>613</v>
      </c>
      <c r="I72" t="s">
        <v>79</v>
      </c>
      <c r="J72" t="s">
        <v>687</v>
      </c>
      <c r="K72" t="s">
        <v>96</v>
      </c>
      <c r="L72" t="s">
        <v>190</v>
      </c>
      <c r="M72" t="str">
        <f>_xlfn.XLOOKUP(L72,Sheet11!C:C,Sheet11!A:A,"")</f>
        <v/>
      </c>
      <c r="N72" t="s">
        <v>98</v>
      </c>
      <c r="O72" t="s">
        <v>710</v>
      </c>
      <c r="P72" t="s">
        <v>99</v>
      </c>
      <c r="Q72" t="s">
        <v>731</v>
      </c>
      <c r="R72" t="s">
        <v>26</v>
      </c>
      <c r="S72" t="str">
        <f>_xlfn.XLOOKUP(R72,Sheet8!C:C,Sheet8!A:A,"")</f>
        <v>09f6626a-fa13-4fea-a785-01671ff4e85e</v>
      </c>
      <c r="T72" t="s">
        <v>237</v>
      </c>
      <c r="U72" t="s">
        <v>778</v>
      </c>
      <c r="V72">
        <v>1</v>
      </c>
      <c r="W72">
        <v>1</v>
      </c>
      <c r="X72">
        <v>1</v>
      </c>
      <c r="Y72" s="1">
        <v>45878</v>
      </c>
    </row>
    <row r="73" spans="2:25" x14ac:dyDescent="0.25">
      <c r="B73" t="s">
        <v>256</v>
      </c>
      <c r="C73" t="s">
        <v>257</v>
      </c>
      <c r="D73" t="s">
        <v>251</v>
      </c>
      <c r="E73" t="s">
        <v>94</v>
      </c>
      <c r="F73" t="s">
        <v>575</v>
      </c>
      <c r="G73" t="s">
        <v>37</v>
      </c>
      <c r="H73" t="s">
        <v>613</v>
      </c>
      <c r="I73" t="s">
        <v>79</v>
      </c>
      <c r="J73" t="s">
        <v>687</v>
      </c>
      <c r="K73" t="s">
        <v>96</v>
      </c>
      <c r="L73" t="s">
        <v>190</v>
      </c>
      <c r="M73" t="str">
        <f>_xlfn.XLOOKUP(L73,Sheet11!C:C,Sheet11!A:A,"")</f>
        <v/>
      </c>
      <c r="N73" t="s">
        <v>98</v>
      </c>
      <c r="O73" t="s">
        <v>710</v>
      </c>
      <c r="P73" t="s">
        <v>99</v>
      </c>
      <c r="Q73" t="s">
        <v>731</v>
      </c>
      <c r="R73" t="s">
        <v>26</v>
      </c>
      <c r="S73" t="str">
        <f>_xlfn.XLOOKUP(R73,Sheet8!C:C,Sheet8!A:A,"")</f>
        <v>09f6626a-fa13-4fea-a785-01671ff4e85e</v>
      </c>
      <c r="T73" t="s">
        <v>237</v>
      </c>
      <c r="U73" t="s">
        <v>778</v>
      </c>
      <c r="V73">
        <v>1</v>
      </c>
      <c r="W73">
        <v>1</v>
      </c>
      <c r="X73">
        <v>1</v>
      </c>
      <c r="Y73" s="1">
        <v>45878</v>
      </c>
    </row>
    <row r="74" spans="2:25" x14ac:dyDescent="0.25">
      <c r="B74" t="s">
        <v>260</v>
      </c>
      <c r="C74" t="s">
        <v>261</v>
      </c>
      <c r="D74" t="s">
        <v>254</v>
      </c>
      <c r="E74" t="s">
        <v>94</v>
      </c>
      <c r="F74" t="s">
        <v>575</v>
      </c>
      <c r="G74" t="s">
        <v>37</v>
      </c>
      <c r="H74" t="s">
        <v>613</v>
      </c>
      <c r="I74" t="s">
        <v>79</v>
      </c>
      <c r="J74" t="s">
        <v>687</v>
      </c>
      <c r="K74" t="s">
        <v>96</v>
      </c>
      <c r="L74" t="s">
        <v>216</v>
      </c>
      <c r="M74" t="str">
        <f>_xlfn.XLOOKUP(L74,Sheet11!C:C,Sheet11!A:A,"")</f>
        <v/>
      </c>
      <c r="N74" t="s">
        <v>98</v>
      </c>
      <c r="O74" t="s">
        <v>710</v>
      </c>
      <c r="P74" t="s">
        <v>99</v>
      </c>
      <c r="Q74" t="s">
        <v>731</v>
      </c>
      <c r="R74" t="s">
        <v>26</v>
      </c>
      <c r="S74" t="str">
        <f>_xlfn.XLOOKUP(R74,Sheet8!C:C,Sheet8!A:A,"")</f>
        <v>09f6626a-fa13-4fea-a785-01671ff4e85e</v>
      </c>
      <c r="T74" t="s">
        <v>237</v>
      </c>
      <c r="U74" t="s">
        <v>778</v>
      </c>
      <c r="V74">
        <v>1</v>
      </c>
      <c r="W74">
        <v>1</v>
      </c>
      <c r="X74">
        <v>1</v>
      </c>
      <c r="Y74" s="1">
        <v>45878</v>
      </c>
    </row>
    <row r="75" spans="2:25" x14ac:dyDescent="0.25">
      <c r="B75" t="s">
        <v>260</v>
      </c>
      <c r="C75" t="s">
        <v>261</v>
      </c>
      <c r="D75" t="s">
        <v>258</v>
      </c>
      <c r="E75" t="s">
        <v>94</v>
      </c>
      <c r="F75" t="s">
        <v>575</v>
      </c>
      <c r="G75" t="s">
        <v>37</v>
      </c>
      <c r="H75" t="s">
        <v>613</v>
      </c>
      <c r="I75" t="s">
        <v>79</v>
      </c>
      <c r="J75" t="s">
        <v>687</v>
      </c>
      <c r="K75" t="s">
        <v>96</v>
      </c>
      <c r="L75" t="s">
        <v>216</v>
      </c>
      <c r="M75" t="str">
        <f>_xlfn.XLOOKUP(L75,Sheet11!C:C,Sheet11!A:A,"")</f>
        <v/>
      </c>
      <c r="N75" t="s">
        <v>98</v>
      </c>
      <c r="O75" t="s">
        <v>710</v>
      </c>
      <c r="P75" t="s">
        <v>99</v>
      </c>
      <c r="Q75" t="s">
        <v>731</v>
      </c>
      <c r="R75" t="s">
        <v>26</v>
      </c>
      <c r="S75" t="str">
        <f>_xlfn.XLOOKUP(R75,Sheet8!C:C,Sheet8!A:A,"")</f>
        <v>09f6626a-fa13-4fea-a785-01671ff4e85e</v>
      </c>
      <c r="T75" t="s">
        <v>237</v>
      </c>
      <c r="U75" t="s">
        <v>778</v>
      </c>
      <c r="V75">
        <v>1</v>
      </c>
      <c r="W75">
        <v>1</v>
      </c>
      <c r="X75">
        <v>1</v>
      </c>
      <c r="Y75" s="1">
        <v>45878</v>
      </c>
    </row>
    <row r="76" spans="2:25" x14ac:dyDescent="0.25">
      <c r="B76" t="s">
        <v>260</v>
      </c>
      <c r="C76" t="s">
        <v>261</v>
      </c>
      <c r="D76" t="s">
        <v>259</v>
      </c>
      <c r="E76" t="s">
        <v>94</v>
      </c>
      <c r="F76" t="s">
        <v>575</v>
      </c>
      <c r="G76" t="s">
        <v>37</v>
      </c>
      <c r="H76" t="s">
        <v>613</v>
      </c>
      <c r="I76" t="s">
        <v>79</v>
      </c>
      <c r="J76" t="s">
        <v>687</v>
      </c>
      <c r="K76" t="s">
        <v>96</v>
      </c>
      <c r="L76" t="s">
        <v>216</v>
      </c>
      <c r="M76" t="str">
        <f>_xlfn.XLOOKUP(L76,Sheet11!C:C,Sheet11!A:A,"")</f>
        <v/>
      </c>
      <c r="N76" t="s">
        <v>98</v>
      </c>
      <c r="O76" t="s">
        <v>710</v>
      </c>
      <c r="P76" t="s">
        <v>99</v>
      </c>
      <c r="Q76" t="s">
        <v>731</v>
      </c>
      <c r="R76" t="s">
        <v>26</v>
      </c>
      <c r="S76" t="str">
        <f>_xlfn.XLOOKUP(R76,Sheet8!C:C,Sheet8!A:A,"")</f>
        <v>09f6626a-fa13-4fea-a785-01671ff4e85e</v>
      </c>
      <c r="T76" t="s">
        <v>237</v>
      </c>
      <c r="U76" t="s">
        <v>778</v>
      </c>
      <c r="V76">
        <v>1</v>
      </c>
      <c r="W76">
        <v>1</v>
      </c>
      <c r="X76">
        <v>1</v>
      </c>
      <c r="Y76" s="1">
        <v>45878</v>
      </c>
    </row>
    <row r="77" spans="2:25" x14ac:dyDescent="0.25">
      <c r="B77" t="s">
        <v>265</v>
      </c>
      <c r="C77" t="s">
        <v>266</v>
      </c>
      <c r="D77" t="s">
        <v>262</v>
      </c>
      <c r="E77" t="s">
        <v>94</v>
      </c>
      <c r="F77" t="s">
        <v>575</v>
      </c>
      <c r="G77" t="s">
        <v>83</v>
      </c>
      <c r="H77" t="s">
        <v>618</v>
      </c>
      <c r="I77" t="s">
        <v>83</v>
      </c>
      <c r="J77" t="s">
        <v>634</v>
      </c>
      <c r="K77" t="s">
        <v>96</v>
      </c>
      <c r="L77" t="s">
        <v>84</v>
      </c>
      <c r="M77" t="str">
        <f>_xlfn.XLOOKUP(L77,Sheet11!C:C,Sheet11!A:A,"")</f>
        <v>4fae55ef-468d-403a-a7ea-3f6f0bf2df2b</v>
      </c>
      <c r="N77" t="s">
        <v>98</v>
      </c>
      <c r="O77" t="s">
        <v>710</v>
      </c>
      <c r="P77" t="s">
        <v>99</v>
      </c>
      <c r="Q77" t="s">
        <v>731</v>
      </c>
      <c r="R77" t="s">
        <v>26</v>
      </c>
      <c r="S77" t="str">
        <f>_xlfn.XLOOKUP(R77,Sheet8!C:C,Sheet8!A:A,"")</f>
        <v>09f6626a-fa13-4fea-a785-01671ff4e85e</v>
      </c>
      <c r="T77" t="s">
        <v>237</v>
      </c>
      <c r="U77" t="s">
        <v>778</v>
      </c>
      <c r="V77">
        <v>1</v>
      </c>
      <c r="W77">
        <v>1</v>
      </c>
      <c r="X77">
        <v>1</v>
      </c>
      <c r="Y77" s="1">
        <v>45713</v>
      </c>
    </row>
    <row r="78" spans="2:25" x14ac:dyDescent="0.25">
      <c r="B78" t="s">
        <v>268</v>
      </c>
      <c r="C78" t="s">
        <v>269</v>
      </c>
      <c r="D78" t="s">
        <v>263</v>
      </c>
      <c r="E78" t="s">
        <v>94</v>
      </c>
      <c r="F78" t="s">
        <v>575</v>
      </c>
      <c r="G78" t="s">
        <v>142</v>
      </c>
      <c r="H78" t="s">
        <v>601</v>
      </c>
      <c r="I78" t="s">
        <v>271</v>
      </c>
      <c r="J78" t="s">
        <v>671</v>
      </c>
      <c r="K78" t="s">
        <v>96</v>
      </c>
      <c r="L78" t="s">
        <v>272</v>
      </c>
      <c r="M78" t="str">
        <f>_xlfn.XLOOKUP(L78,Sheet11!C:C,Sheet11!A:A,"")</f>
        <v/>
      </c>
      <c r="N78" t="s">
        <v>98</v>
      </c>
      <c r="O78" t="s">
        <v>710</v>
      </c>
      <c r="P78" t="s">
        <v>99</v>
      </c>
      <c r="Q78" t="s">
        <v>731</v>
      </c>
      <c r="R78" t="s">
        <v>26</v>
      </c>
      <c r="S78" t="str">
        <f>_xlfn.XLOOKUP(R78,Sheet8!C:C,Sheet8!A:A,"")</f>
        <v>09f6626a-fa13-4fea-a785-01671ff4e85e</v>
      </c>
      <c r="T78" t="s">
        <v>237</v>
      </c>
      <c r="U78" t="s">
        <v>778</v>
      </c>
      <c r="V78">
        <v>1</v>
      </c>
      <c r="W78">
        <v>1</v>
      </c>
      <c r="X78">
        <v>1</v>
      </c>
      <c r="Y78" s="1">
        <v>45713</v>
      </c>
    </row>
    <row r="79" spans="2:25" x14ac:dyDescent="0.25">
      <c r="B79" t="s">
        <v>252</v>
      </c>
      <c r="C79" t="s">
        <v>253</v>
      </c>
      <c r="D79" t="s">
        <v>264</v>
      </c>
      <c r="E79" t="s">
        <v>94</v>
      </c>
      <c r="F79" t="s">
        <v>575</v>
      </c>
      <c r="G79" t="s">
        <v>142</v>
      </c>
      <c r="H79" t="s">
        <v>601</v>
      </c>
      <c r="I79" t="s">
        <v>271</v>
      </c>
      <c r="J79" t="s">
        <v>671</v>
      </c>
      <c r="K79" t="s">
        <v>96</v>
      </c>
      <c r="L79" t="s">
        <v>226</v>
      </c>
      <c r="M79" t="str">
        <f>_xlfn.XLOOKUP(L79,Sheet11!C:C,Sheet11!A:A,"")</f>
        <v/>
      </c>
      <c r="N79" t="s">
        <v>98</v>
      </c>
      <c r="O79" t="s">
        <v>710</v>
      </c>
      <c r="P79" t="s">
        <v>99</v>
      </c>
      <c r="Q79" t="s">
        <v>731</v>
      </c>
      <c r="R79" t="s">
        <v>26</v>
      </c>
      <c r="S79" t="str">
        <f>_xlfn.XLOOKUP(R79,Sheet8!C:C,Sheet8!A:A,"")</f>
        <v>09f6626a-fa13-4fea-a785-01671ff4e85e</v>
      </c>
      <c r="T79" t="s">
        <v>237</v>
      </c>
      <c r="U79" t="s">
        <v>778</v>
      </c>
      <c r="V79">
        <v>1</v>
      </c>
      <c r="W79">
        <v>1</v>
      </c>
      <c r="X79">
        <v>1</v>
      </c>
      <c r="Y79" s="1">
        <v>45713</v>
      </c>
    </row>
    <row r="80" spans="2:25" x14ac:dyDescent="0.25">
      <c r="B80" t="s">
        <v>274</v>
      </c>
      <c r="C80" t="s">
        <v>275</v>
      </c>
      <c r="D80" t="s">
        <v>267</v>
      </c>
      <c r="E80" t="s">
        <v>94</v>
      </c>
      <c r="F80" t="s">
        <v>575</v>
      </c>
      <c r="G80" t="s">
        <v>38</v>
      </c>
      <c r="H80" t="s">
        <v>623</v>
      </c>
      <c r="I80" t="s">
        <v>38</v>
      </c>
      <c r="J80" t="s">
        <v>659</v>
      </c>
      <c r="K80" t="s">
        <v>96</v>
      </c>
      <c r="L80" t="s">
        <v>277</v>
      </c>
      <c r="M80" t="str">
        <f>_xlfn.XLOOKUP(L80,Sheet11!C:C,Sheet11!A:A,"")</f>
        <v>dc0cf930-f332-44fb-b70d-d0d38d45a75a</v>
      </c>
      <c r="N80" t="s">
        <v>98</v>
      </c>
      <c r="O80" t="s">
        <v>710</v>
      </c>
      <c r="P80" t="s">
        <v>99</v>
      </c>
      <c r="Q80" t="s">
        <v>731</v>
      </c>
      <c r="R80" t="s">
        <v>26</v>
      </c>
      <c r="S80" t="str">
        <f>_xlfn.XLOOKUP(R80,Sheet8!C:C,Sheet8!A:A,"")</f>
        <v>09f6626a-fa13-4fea-a785-01671ff4e85e</v>
      </c>
      <c r="T80" t="s">
        <v>237</v>
      </c>
      <c r="U80" t="s">
        <v>778</v>
      </c>
      <c r="V80">
        <v>1</v>
      </c>
      <c r="W80">
        <v>1</v>
      </c>
      <c r="X80">
        <v>1</v>
      </c>
      <c r="Y80" s="1">
        <v>45713</v>
      </c>
    </row>
    <row r="81" spans="2:25" x14ac:dyDescent="0.25">
      <c r="B81" t="s">
        <v>278</v>
      </c>
      <c r="C81" t="s">
        <v>279</v>
      </c>
      <c r="D81" t="s">
        <v>270</v>
      </c>
      <c r="E81" t="s">
        <v>19</v>
      </c>
      <c r="F81" t="s">
        <v>515</v>
      </c>
      <c r="G81" t="s">
        <v>20</v>
      </c>
      <c r="H81" t="s">
        <v>588</v>
      </c>
      <c r="I81" t="s">
        <v>21</v>
      </c>
      <c r="J81" t="s">
        <v>694</v>
      </c>
      <c r="K81" t="s">
        <v>96</v>
      </c>
      <c r="L81" t="s">
        <v>23</v>
      </c>
      <c r="M81" t="str">
        <f>_xlfn.XLOOKUP(L81,Sheet11!C:C,Sheet11!A:A,"")</f>
        <v>2d22cf03-e3da-4e44-be90-66770884d540</v>
      </c>
      <c r="N81" t="s">
        <v>154</v>
      </c>
      <c r="O81" t="s">
        <v>713</v>
      </c>
      <c r="P81" t="s">
        <v>99</v>
      </c>
      <c r="Q81" t="s">
        <v>731</v>
      </c>
      <c r="R81" t="s">
        <v>26</v>
      </c>
      <c r="S81" t="str">
        <f>_xlfn.XLOOKUP(R81,Sheet8!C:C,Sheet8!A:A,"")</f>
        <v>09f6626a-fa13-4fea-a785-01671ff4e85e</v>
      </c>
      <c r="T81" t="s">
        <v>237</v>
      </c>
      <c r="U81" t="s">
        <v>778</v>
      </c>
      <c r="V81">
        <v>1</v>
      </c>
      <c r="W81">
        <v>1</v>
      </c>
      <c r="X81">
        <v>1</v>
      </c>
      <c r="Y81" s="1">
        <v>42909</v>
      </c>
    </row>
    <row r="82" spans="2:25" x14ac:dyDescent="0.25">
      <c r="B82" t="s">
        <v>281</v>
      </c>
      <c r="C82" t="s">
        <v>282</v>
      </c>
      <c r="D82" t="s">
        <v>273</v>
      </c>
      <c r="E82" t="s">
        <v>284</v>
      </c>
      <c r="F82" t="s">
        <v>479</v>
      </c>
      <c r="G82" t="s">
        <v>49</v>
      </c>
      <c r="H82" t="s">
        <v>592</v>
      </c>
      <c r="I82" t="s">
        <v>50</v>
      </c>
      <c r="J82" t="s">
        <v>640</v>
      </c>
      <c r="K82" t="s">
        <v>22</v>
      </c>
      <c r="L82" t="s">
        <v>46</v>
      </c>
      <c r="M82" t="str">
        <f>_xlfn.XLOOKUP(L82,Sheet11!C:C,Sheet11!A:A,"")</f>
        <v/>
      </c>
      <c r="N82" t="s">
        <v>154</v>
      </c>
      <c r="O82" t="s">
        <v>713</v>
      </c>
      <c r="P82" t="s">
        <v>99</v>
      </c>
      <c r="Q82" t="s">
        <v>731</v>
      </c>
      <c r="R82" t="s">
        <v>26</v>
      </c>
      <c r="S82" t="str">
        <f>_xlfn.XLOOKUP(R82,Sheet8!C:C,Sheet8!A:A,"")</f>
        <v>09f6626a-fa13-4fea-a785-01671ff4e85e</v>
      </c>
      <c r="T82" t="s">
        <v>237</v>
      </c>
      <c r="U82" t="s">
        <v>778</v>
      </c>
      <c r="V82">
        <v>1</v>
      </c>
      <c r="W82">
        <v>1</v>
      </c>
      <c r="X82">
        <v>1</v>
      </c>
      <c r="Y82" s="1">
        <v>46023</v>
      </c>
    </row>
    <row r="83" spans="2:25" x14ac:dyDescent="0.25">
      <c r="B83" t="s">
        <v>285</v>
      </c>
      <c r="C83" t="s">
        <v>286</v>
      </c>
      <c r="D83" t="s">
        <v>276</v>
      </c>
      <c r="E83" t="s">
        <v>284</v>
      </c>
      <c r="F83" t="s">
        <v>479</v>
      </c>
      <c r="G83" t="s">
        <v>49</v>
      </c>
      <c r="H83" t="s">
        <v>592</v>
      </c>
      <c r="I83" t="s">
        <v>50</v>
      </c>
      <c r="J83" t="s">
        <v>640</v>
      </c>
      <c r="K83" t="s">
        <v>22</v>
      </c>
      <c r="L83" t="s">
        <v>53</v>
      </c>
      <c r="M83" t="str">
        <f>_xlfn.XLOOKUP(L83,Sheet11!C:C,Sheet11!A:A,"")</f>
        <v/>
      </c>
      <c r="N83" t="s">
        <v>154</v>
      </c>
      <c r="O83" t="s">
        <v>713</v>
      </c>
      <c r="P83" t="s">
        <v>99</v>
      </c>
      <c r="Q83" t="s">
        <v>731</v>
      </c>
      <c r="R83" t="s">
        <v>26</v>
      </c>
      <c r="S83" t="str">
        <f>_xlfn.XLOOKUP(R83,Sheet8!C:C,Sheet8!A:A,"")</f>
        <v>09f6626a-fa13-4fea-a785-01671ff4e85e</v>
      </c>
      <c r="T83" t="s">
        <v>237</v>
      </c>
      <c r="U83" t="s">
        <v>778</v>
      </c>
      <c r="V83">
        <v>1</v>
      </c>
      <c r="W83">
        <v>1</v>
      </c>
      <c r="X83">
        <v>1</v>
      </c>
      <c r="Y83" s="1">
        <v>46023</v>
      </c>
    </row>
    <row r="84" spans="2:25" x14ac:dyDescent="0.25">
      <c r="B84" t="s">
        <v>288</v>
      </c>
      <c r="C84" t="s">
        <v>289</v>
      </c>
      <c r="D84" t="s">
        <v>280</v>
      </c>
      <c r="E84" t="s">
        <v>19</v>
      </c>
      <c r="F84" t="s">
        <v>515</v>
      </c>
      <c r="G84" t="s">
        <v>20</v>
      </c>
      <c r="H84" t="s">
        <v>588</v>
      </c>
      <c r="I84" t="s">
        <v>95</v>
      </c>
      <c r="J84" t="s">
        <v>697</v>
      </c>
      <c r="K84" t="s">
        <v>22</v>
      </c>
      <c r="L84" t="s">
        <v>291</v>
      </c>
      <c r="M84" t="str">
        <f>_xlfn.XLOOKUP(L84,Sheet11!C:C,Sheet11!A:A,"")</f>
        <v>a82fd4d9-3efa-4922-b1f6-4863cb5c09bb</v>
      </c>
      <c r="N84" t="s">
        <v>154</v>
      </c>
      <c r="O84" t="s">
        <v>713</v>
      </c>
      <c r="P84" t="s">
        <v>155</v>
      </c>
      <c r="Q84" t="s">
        <v>734</v>
      </c>
      <c r="R84" t="s">
        <v>26</v>
      </c>
      <c r="S84" t="str">
        <f>_xlfn.XLOOKUP(R84,Sheet8!C:C,Sheet8!A:A,"")</f>
        <v>09f6626a-fa13-4fea-a785-01671ff4e85e</v>
      </c>
      <c r="T84" t="s">
        <v>237</v>
      </c>
      <c r="U84" t="s">
        <v>778</v>
      </c>
      <c r="V84">
        <v>1</v>
      </c>
      <c r="W84">
        <v>1</v>
      </c>
      <c r="X84">
        <v>1</v>
      </c>
      <c r="Y84" s="1">
        <v>44490</v>
      </c>
    </row>
    <row r="85" spans="2:25" x14ac:dyDescent="0.25">
      <c r="B85" t="s">
        <v>189</v>
      </c>
      <c r="C85" t="s">
        <v>190</v>
      </c>
      <c r="D85" t="s">
        <v>283</v>
      </c>
      <c r="E85" t="s">
        <v>192</v>
      </c>
      <c r="F85" t="s">
        <v>529</v>
      </c>
      <c r="G85" t="s">
        <v>37</v>
      </c>
      <c r="H85" t="s">
        <v>613</v>
      </c>
      <c r="I85" t="s">
        <v>79</v>
      </c>
      <c r="J85" t="s">
        <v>687</v>
      </c>
      <c r="K85" t="s">
        <v>22</v>
      </c>
      <c r="L85" t="s">
        <v>293</v>
      </c>
      <c r="M85" t="str">
        <f>_xlfn.XLOOKUP(L85,Sheet11!C:C,Sheet11!A:A,"")</f>
        <v/>
      </c>
      <c r="N85" t="s">
        <v>154</v>
      </c>
      <c r="O85" t="s">
        <v>713</v>
      </c>
      <c r="P85" t="s">
        <v>155</v>
      </c>
      <c r="Q85" t="s">
        <v>734</v>
      </c>
      <c r="R85" t="s">
        <v>26</v>
      </c>
      <c r="S85" t="str">
        <f>_xlfn.XLOOKUP(R85,Sheet8!C:C,Sheet8!A:A,"")</f>
        <v>09f6626a-fa13-4fea-a785-01671ff4e85e</v>
      </c>
      <c r="T85" t="s">
        <v>237</v>
      </c>
      <c r="U85" t="s">
        <v>778</v>
      </c>
      <c r="V85">
        <v>1</v>
      </c>
      <c r="W85">
        <v>1</v>
      </c>
      <c r="X85">
        <v>1</v>
      </c>
      <c r="Y85" s="1">
        <v>44621</v>
      </c>
    </row>
    <row r="86" spans="2:25" x14ac:dyDescent="0.25">
      <c r="B86" t="s">
        <v>294</v>
      </c>
      <c r="C86" t="s">
        <v>236</v>
      </c>
      <c r="D86" t="s">
        <v>287</v>
      </c>
      <c r="E86" t="s">
        <v>19</v>
      </c>
      <c r="F86" t="s">
        <v>515</v>
      </c>
      <c r="G86" t="s">
        <v>20</v>
      </c>
      <c r="H86" t="s">
        <v>588</v>
      </c>
      <c r="I86" t="s">
        <v>21</v>
      </c>
      <c r="J86" t="s">
        <v>694</v>
      </c>
      <c r="K86" t="s">
        <v>22</v>
      </c>
      <c r="L86" t="s">
        <v>23</v>
      </c>
      <c r="M86" t="str">
        <f>_xlfn.XLOOKUP(L86,Sheet11!C:C,Sheet11!A:A,"")</f>
        <v>2d22cf03-e3da-4e44-be90-66770884d540</v>
      </c>
      <c r="N86" t="s">
        <v>24</v>
      </c>
      <c r="O86" t="s">
        <v>716</v>
      </c>
      <c r="P86" t="s">
        <v>25</v>
      </c>
      <c r="Q86" t="s">
        <v>737</v>
      </c>
      <c r="R86" t="s">
        <v>26</v>
      </c>
      <c r="S86" t="str">
        <f>_xlfn.XLOOKUP(R86,Sheet8!C:C,Sheet8!A:A,"")</f>
        <v>09f6626a-fa13-4fea-a785-01671ff4e85e</v>
      </c>
      <c r="T86" t="s">
        <v>237</v>
      </c>
      <c r="U86" t="s">
        <v>778</v>
      </c>
      <c r="V86">
        <v>1</v>
      </c>
      <c r="W86">
        <v>1</v>
      </c>
      <c r="X86">
        <v>1</v>
      </c>
      <c r="Y86" s="1">
        <v>44490</v>
      </c>
    </row>
    <row r="87" spans="2:25" x14ac:dyDescent="0.25">
      <c r="B87" t="s">
        <v>296</v>
      </c>
      <c r="C87" t="s">
        <v>297</v>
      </c>
      <c r="D87" t="s">
        <v>290</v>
      </c>
      <c r="E87" t="s">
        <v>19</v>
      </c>
      <c r="F87" t="s">
        <v>515</v>
      </c>
      <c r="G87" t="s">
        <v>20</v>
      </c>
      <c r="H87" t="s">
        <v>588</v>
      </c>
      <c r="I87" t="s">
        <v>95</v>
      </c>
      <c r="J87" t="s">
        <v>697</v>
      </c>
      <c r="K87" t="s">
        <v>22</v>
      </c>
      <c r="L87" t="s">
        <v>23</v>
      </c>
      <c r="M87" t="str">
        <f>_xlfn.XLOOKUP(L87,Sheet11!C:C,Sheet11!A:A,"")</f>
        <v>2d22cf03-e3da-4e44-be90-66770884d540</v>
      </c>
      <c r="N87" t="s">
        <v>24</v>
      </c>
      <c r="O87" t="s">
        <v>716</v>
      </c>
      <c r="P87" t="s">
        <v>25</v>
      </c>
      <c r="Q87" t="s">
        <v>737</v>
      </c>
      <c r="R87" t="s">
        <v>26</v>
      </c>
      <c r="S87" t="str">
        <f>_xlfn.XLOOKUP(R87,Sheet8!C:C,Sheet8!A:A,"")</f>
        <v>09f6626a-fa13-4fea-a785-01671ff4e85e</v>
      </c>
      <c r="T87" t="s">
        <v>237</v>
      </c>
      <c r="U87" t="s">
        <v>778</v>
      </c>
      <c r="V87">
        <v>1</v>
      </c>
      <c r="W87">
        <v>0</v>
      </c>
      <c r="X87">
        <v>0</v>
      </c>
      <c r="Y87" s="1">
        <v>44641</v>
      </c>
    </row>
    <row r="88" spans="2:25" x14ac:dyDescent="0.25">
      <c r="B88" t="s">
        <v>299</v>
      </c>
      <c r="C88" t="s">
        <v>297</v>
      </c>
      <c r="D88" t="s">
        <v>292</v>
      </c>
      <c r="E88" t="s">
        <v>19</v>
      </c>
      <c r="F88" t="s">
        <v>515</v>
      </c>
      <c r="G88" t="s">
        <v>20</v>
      </c>
      <c r="H88" t="s">
        <v>588</v>
      </c>
      <c r="I88" t="s">
        <v>95</v>
      </c>
      <c r="J88" t="s">
        <v>697</v>
      </c>
      <c r="K88" t="s">
        <v>22</v>
      </c>
      <c r="L88" t="s">
        <v>291</v>
      </c>
      <c r="M88" t="str">
        <f>_xlfn.XLOOKUP(L88,Sheet11!C:C,Sheet11!A:A,"")</f>
        <v>a82fd4d9-3efa-4922-b1f6-4863cb5c09bb</v>
      </c>
      <c r="N88" t="s">
        <v>24</v>
      </c>
      <c r="O88" t="s">
        <v>716</v>
      </c>
      <c r="P88" t="s">
        <v>25</v>
      </c>
      <c r="Q88" t="s">
        <v>737</v>
      </c>
      <c r="R88" t="s">
        <v>26</v>
      </c>
      <c r="S88" t="str">
        <f>_xlfn.XLOOKUP(R88,Sheet8!C:C,Sheet8!A:A,"")</f>
        <v>09f6626a-fa13-4fea-a785-01671ff4e85e</v>
      </c>
      <c r="T88" t="s">
        <v>237</v>
      </c>
      <c r="U88" t="s">
        <v>778</v>
      </c>
      <c r="V88">
        <v>0</v>
      </c>
      <c r="W88">
        <v>1</v>
      </c>
      <c r="X88">
        <v>1</v>
      </c>
      <c r="Y88" s="1">
        <v>44616</v>
      </c>
    </row>
    <row r="89" spans="2:25" x14ac:dyDescent="0.25">
      <c r="B89" t="s">
        <v>296</v>
      </c>
      <c r="C89" t="s">
        <v>297</v>
      </c>
      <c r="D89" t="s">
        <v>295</v>
      </c>
      <c r="E89" t="s">
        <v>19</v>
      </c>
      <c r="F89" t="s">
        <v>515</v>
      </c>
      <c r="G89" t="s">
        <v>20</v>
      </c>
      <c r="H89" t="s">
        <v>588</v>
      </c>
      <c r="I89" t="s">
        <v>95</v>
      </c>
      <c r="J89" t="s">
        <v>697</v>
      </c>
      <c r="K89" t="s">
        <v>22</v>
      </c>
      <c r="L89" t="s">
        <v>23</v>
      </c>
      <c r="M89" t="str">
        <f>_xlfn.XLOOKUP(L89,Sheet11!C:C,Sheet11!A:A,"")</f>
        <v>2d22cf03-e3da-4e44-be90-66770884d540</v>
      </c>
      <c r="N89" t="s">
        <v>24</v>
      </c>
      <c r="O89" t="s">
        <v>716</v>
      </c>
      <c r="P89" t="s">
        <v>25</v>
      </c>
      <c r="Q89" t="s">
        <v>737</v>
      </c>
      <c r="R89" t="s">
        <v>26</v>
      </c>
      <c r="S89" t="str">
        <f>_xlfn.XLOOKUP(R89,Sheet8!C:C,Sheet8!A:A,"")</f>
        <v>09f6626a-fa13-4fea-a785-01671ff4e85e</v>
      </c>
      <c r="T89" t="s">
        <v>237</v>
      </c>
      <c r="U89" t="s">
        <v>778</v>
      </c>
      <c r="V89">
        <v>1</v>
      </c>
      <c r="W89">
        <v>1</v>
      </c>
      <c r="X89">
        <v>0</v>
      </c>
      <c r="Y89" s="1">
        <v>45312</v>
      </c>
    </row>
    <row r="90" spans="2:25" x14ac:dyDescent="0.25">
      <c r="B90" t="s">
        <v>302</v>
      </c>
      <c r="C90" t="s">
        <v>303</v>
      </c>
      <c r="D90" t="s">
        <v>298</v>
      </c>
      <c r="E90" t="s">
        <v>284</v>
      </c>
      <c r="F90" t="s">
        <v>479</v>
      </c>
      <c r="G90" t="s">
        <v>49</v>
      </c>
      <c r="H90" t="s">
        <v>592</v>
      </c>
      <c r="I90" t="s">
        <v>49</v>
      </c>
      <c r="J90" t="s">
        <v>637</v>
      </c>
      <c r="K90" t="s">
        <v>22</v>
      </c>
      <c r="L90" t="s">
        <v>305</v>
      </c>
      <c r="M90" t="str">
        <f>_xlfn.XLOOKUP(L90,Sheet11!C:C,Sheet11!A:A,"")</f>
        <v>019c6f96-275a-78ae-84f9-472e9a5eb723</v>
      </c>
      <c r="N90" t="s">
        <v>24</v>
      </c>
      <c r="O90" t="s">
        <v>716</v>
      </c>
      <c r="P90" t="s">
        <v>25</v>
      </c>
      <c r="Q90" t="s">
        <v>737</v>
      </c>
      <c r="R90" t="s">
        <v>26</v>
      </c>
      <c r="S90" t="str">
        <f>_xlfn.XLOOKUP(R90,Sheet8!C:C,Sheet8!A:A,"")</f>
        <v>09f6626a-fa13-4fea-a785-01671ff4e85e</v>
      </c>
      <c r="T90" t="s">
        <v>237</v>
      </c>
      <c r="U90" t="s">
        <v>778</v>
      </c>
      <c r="V90">
        <v>1</v>
      </c>
      <c r="W90">
        <v>1</v>
      </c>
      <c r="X90">
        <v>1</v>
      </c>
      <c r="Y90" s="1">
        <v>42736</v>
      </c>
    </row>
    <row r="91" spans="2:25" x14ac:dyDescent="0.25">
      <c r="B91" t="s">
        <v>306</v>
      </c>
      <c r="C91" t="s">
        <v>307</v>
      </c>
      <c r="D91" t="s">
        <v>300</v>
      </c>
      <c r="E91" t="s">
        <v>284</v>
      </c>
      <c r="F91" t="s">
        <v>479</v>
      </c>
      <c r="G91" t="s">
        <v>49</v>
      </c>
      <c r="H91" t="s">
        <v>592</v>
      </c>
      <c r="I91" t="s">
        <v>49</v>
      </c>
      <c r="J91" t="s">
        <v>637</v>
      </c>
      <c r="K91" t="s">
        <v>22</v>
      </c>
      <c r="L91" t="s">
        <v>305</v>
      </c>
      <c r="M91" t="str">
        <f>_xlfn.XLOOKUP(L91,Sheet11!C:C,Sheet11!A:A,"")</f>
        <v>019c6f96-275a-78ae-84f9-472e9a5eb723</v>
      </c>
      <c r="N91" t="s">
        <v>24</v>
      </c>
      <c r="O91" t="s">
        <v>716</v>
      </c>
      <c r="P91" t="s">
        <v>25</v>
      </c>
      <c r="Q91" t="s">
        <v>737</v>
      </c>
      <c r="R91" t="s">
        <v>26</v>
      </c>
      <c r="S91" t="str">
        <f>_xlfn.XLOOKUP(R91,Sheet8!C:C,Sheet8!A:A,"")</f>
        <v>09f6626a-fa13-4fea-a785-01671ff4e85e</v>
      </c>
      <c r="T91" t="s">
        <v>237</v>
      </c>
      <c r="U91" t="s">
        <v>778</v>
      </c>
      <c r="V91">
        <v>1</v>
      </c>
      <c r="W91">
        <v>1</v>
      </c>
      <c r="X91">
        <v>1</v>
      </c>
      <c r="Y91" s="1">
        <v>42736</v>
      </c>
    </row>
    <row r="92" spans="2:25" x14ac:dyDescent="0.25">
      <c r="B92" t="s">
        <v>309</v>
      </c>
      <c r="C92" t="s">
        <v>310</v>
      </c>
      <c r="D92" t="s">
        <v>301</v>
      </c>
      <c r="E92" t="s">
        <v>312</v>
      </c>
      <c r="F92" t="s">
        <v>486</v>
      </c>
      <c r="G92" t="s">
        <v>49</v>
      </c>
      <c r="H92" t="s">
        <v>592</v>
      </c>
      <c r="I92" t="s">
        <v>49</v>
      </c>
      <c r="J92" t="s">
        <v>637</v>
      </c>
      <c r="K92" t="s">
        <v>22</v>
      </c>
      <c r="L92" t="s">
        <v>51</v>
      </c>
      <c r="M92" t="str">
        <f>_xlfn.XLOOKUP(L92,Sheet11!C:C,Sheet11!A:A,"")</f>
        <v>942745ac-02ff-4409-822b-677a97cf117a</v>
      </c>
      <c r="N92" t="s">
        <v>24</v>
      </c>
      <c r="O92" t="s">
        <v>716</v>
      </c>
      <c r="P92" t="s">
        <v>25</v>
      </c>
      <c r="Q92" t="s">
        <v>737</v>
      </c>
      <c r="R92" t="s">
        <v>26</v>
      </c>
      <c r="S92" t="str">
        <f>_xlfn.XLOOKUP(R92,Sheet8!C:C,Sheet8!A:A,"")</f>
        <v>09f6626a-fa13-4fea-a785-01671ff4e85e</v>
      </c>
      <c r="T92" t="s">
        <v>237</v>
      </c>
      <c r="U92" t="s">
        <v>778</v>
      </c>
      <c r="V92">
        <v>1</v>
      </c>
      <c r="W92">
        <v>1</v>
      </c>
      <c r="X92">
        <v>1</v>
      </c>
      <c r="Y92" s="1">
        <v>42736</v>
      </c>
    </row>
    <row r="93" spans="2:25" x14ac:dyDescent="0.25">
      <c r="B93" t="s">
        <v>313</v>
      </c>
      <c r="C93" t="s">
        <v>314</v>
      </c>
      <c r="D93" t="s">
        <v>304</v>
      </c>
      <c r="E93" t="s">
        <v>153</v>
      </c>
      <c r="F93" t="s">
        <v>472</v>
      </c>
      <c r="G93" t="s">
        <v>49</v>
      </c>
      <c r="H93" t="s">
        <v>592</v>
      </c>
      <c r="I93" t="s">
        <v>126</v>
      </c>
      <c r="J93" t="s">
        <v>650</v>
      </c>
      <c r="K93" t="s">
        <v>22</v>
      </c>
      <c r="L93" t="s">
        <v>316</v>
      </c>
      <c r="M93" t="str">
        <f>_xlfn.XLOOKUP(L93,Sheet11!C:C,Sheet11!A:A,"")</f>
        <v>c772963c-22c6-4a70-b408-707d9869e900</v>
      </c>
      <c r="N93" t="s">
        <v>24</v>
      </c>
      <c r="O93" t="s">
        <v>716</v>
      </c>
      <c r="P93" t="s">
        <v>25</v>
      </c>
      <c r="Q93" t="s">
        <v>737</v>
      </c>
      <c r="R93" t="s">
        <v>26</v>
      </c>
      <c r="S93" t="str">
        <f>_xlfn.XLOOKUP(R93,Sheet8!C:C,Sheet8!A:A,"")</f>
        <v>09f6626a-fa13-4fea-a785-01671ff4e85e</v>
      </c>
      <c r="T93" t="s">
        <v>237</v>
      </c>
      <c r="U93" t="s">
        <v>778</v>
      </c>
      <c r="V93">
        <v>1</v>
      </c>
      <c r="W93">
        <v>1</v>
      </c>
      <c r="X93">
        <v>1</v>
      </c>
      <c r="Y93" s="1">
        <v>42736</v>
      </c>
    </row>
    <row r="94" spans="2:25" x14ac:dyDescent="0.25">
      <c r="B94" t="s">
        <v>313</v>
      </c>
      <c r="C94" t="s">
        <v>314</v>
      </c>
      <c r="D94" t="s">
        <v>308</v>
      </c>
      <c r="E94" t="s">
        <v>153</v>
      </c>
      <c r="F94" t="s">
        <v>472</v>
      </c>
      <c r="G94" t="s">
        <v>49</v>
      </c>
      <c r="H94" t="s">
        <v>592</v>
      </c>
      <c r="I94" t="s">
        <v>126</v>
      </c>
      <c r="J94" t="s">
        <v>650</v>
      </c>
      <c r="K94" t="s">
        <v>22</v>
      </c>
      <c r="L94" t="s">
        <v>316</v>
      </c>
      <c r="M94" t="str">
        <f>_xlfn.XLOOKUP(L94,Sheet11!C:C,Sheet11!A:A,"")</f>
        <v>c772963c-22c6-4a70-b408-707d9869e900</v>
      </c>
      <c r="N94" t="s">
        <v>24</v>
      </c>
      <c r="O94" t="s">
        <v>716</v>
      </c>
      <c r="P94" t="s">
        <v>25</v>
      </c>
      <c r="Q94" t="s">
        <v>737</v>
      </c>
      <c r="R94" t="s">
        <v>26</v>
      </c>
      <c r="S94" t="str">
        <f>_xlfn.XLOOKUP(R94,Sheet8!C:C,Sheet8!A:A,"")</f>
        <v>09f6626a-fa13-4fea-a785-01671ff4e85e</v>
      </c>
      <c r="T94" t="s">
        <v>237</v>
      </c>
      <c r="U94" t="s">
        <v>778</v>
      </c>
      <c r="V94">
        <v>1</v>
      </c>
      <c r="W94">
        <v>1</v>
      </c>
      <c r="X94">
        <v>1</v>
      </c>
      <c r="Y94" s="1">
        <v>42736</v>
      </c>
    </row>
    <row r="95" spans="2:25" x14ac:dyDescent="0.25">
      <c r="B95" t="s">
        <v>318</v>
      </c>
      <c r="C95" t="s">
        <v>319</v>
      </c>
      <c r="D95" t="s">
        <v>311</v>
      </c>
      <c r="E95" t="s">
        <v>321</v>
      </c>
      <c r="F95" t="s">
        <v>512</v>
      </c>
      <c r="G95" t="s">
        <v>322</v>
      </c>
      <c r="H95" t="s">
        <v>597</v>
      </c>
      <c r="I95" t="s">
        <v>322</v>
      </c>
      <c r="J95" t="s">
        <v>653</v>
      </c>
      <c r="K95" t="s">
        <v>22</v>
      </c>
      <c r="L95" t="s">
        <v>323</v>
      </c>
      <c r="M95" t="str">
        <f>_xlfn.XLOOKUP(L95,Sheet11!C:C,Sheet11!A:A,"")</f>
        <v/>
      </c>
      <c r="N95" t="s">
        <v>24</v>
      </c>
      <c r="O95" t="s">
        <v>716</v>
      </c>
      <c r="P95" t="s">
        <v>25</v>
      </c>
      <c r="Q95" t="s">
        <v>737</v>
      </c>
      <c r="R95" t="s">
        <v>26</v>
      </c>
      <c r="S95" t="str">
        <f>_xlfn.XLOOKUP(R95,Sheet8!C:C,Sheet8!A:A,"")</f>
        <v>09f6626a-fa13-4fea-a785-01671ff4e85e</v>
      </c>
      <c r="T95" t="s">
        <v>237</v>
      </c>
      <c r="U95" t="s">
        <v>778</v>
      </c>
      <c r="V95">
        <v>1</v>
      </c>
      <c r="W95">
        <v>1</v>
      </c>
      <c r="X95">
        <v>1</v>
      </c>
      <c r="Y95" s="1">
        <v>45831</v>
      </c>
    </row>
    <row r="96" spans="2:25" x14ac:dyDescent="0.25">
      <c r="B96" t="s">
        <v>324</v>
      </c>
      <c r="C96" t="s">
        <v>325</v>
      </c>
      <c r="D96" t="s">
        <v>315</v>
      </c>
      <c r="E96" t="s">
        <v>559</v>
      </c>
      <c r="F96" t="s">
        <v>557</v>
      </c>
      <c r="G96" t="s">
        <v>58</v>
      </c>
      <c r="H96" t="s">
        <v>606</v>
      </c>
      <c r="I96" t="s">
        <v>59</v>
      </c>
      <c r="J96" t="s">
        <v>674</v>
      </c>
      <c r="K96" t="s">
        <v>22</v>
      </c>
      <c r="L96" t="s">
        <v>60</v>
      </c>
      <c r="M96" t="str">
        <f>_xlfn.XLOOKUP(L96,Sheet11!C:C,Sheet11!A:A,"")</f>
        <v>f02b722d-ca57-42af-a033-74cb162c708e</v>
      </c>
      <c r="N96" t="s">
        <v>24</v>
      </c>
      <c r="O96" t="s">
        <v>716</v>
      </c>
      <c r="P96" t="s">
        <v>25</v>
      </c>
      <c r="Q96" t="s">
        <v>737</v>
      </c>
      <c r="R96" t="s">
        <v>26</v>
      </c>
      <c r="S96" t="str">
        <f>_xlfn.XLOOKUP(R96,Sheet8!C:C,Sheet8!A:A,"")</f>
        <v>09f6626a-fa13-4fea-a785-01671ff4e85e</v>
      </c>
      <c r="T96" t="s">
        <v>237</v>
      </c>
      <c r="U96" t="s">
        <v>778</v>
      </c>
      <c r="V96">
        <v>1</v>
      </c>
      <c r="W96">
        <v>1</v>
      </c>
      <c r="X96">
        <v>1</v>
      </c>
      <c r="Y96" s="1">
        <v>44490</v>
      </c>
    </row>
    <row r="97" spans="2:25" x14ac:dyDescent="0.25">
      <c r="B97" t="s">
        <v>327</v>
      </c>
      <c r="C97" t="s">
        <v>328</v>
      </c>
      <c r="D97" t="s">
        <v>317</v>
      </c>
      <c r="E97" t="s">
        <v>559</v>
      </c>
      <c r="F97" t="s">
        <v>557</v>
      </c>
      <c r="G97" t="s">
        <v>58</v>
      </c>
      <c r="H97" t="s">
        <v>606</v>
      </c>
      <c r="I97" t="s">
        <v>59</v>
      </c>
      <c r="J97" t="s">
        <v>674</v>
      </c>
      <c r="K97" t="s">
        <v>22</v>
      </c>
      <c r="L97" t="s">
        <v>60</v>
      </c>
      <c r="M97" t="str">
        <f>_xlfn.XLOOKUP(L97,Sheet11!C:C,Sheet11!A:A,"")</f>
        <v>f02b722d-ca57-42af-a033-74cb162c708e</v>
      </c>
      <c r="N97" t="s">
        <v>24</v>
      </c>
      <c r="O97" t="s">
        <v>716</v>
      </c>
      <c r="P97" t="s">
        <v>25</v>
      </c>
      <c r="Q97" t="s">
        <v>737</v>
      </c>
      <c r="R97" t="s">
        <v>26</v>
      </c>
      <c r="S97" t="str">
        <f>_xlfn.XLOOKUP(R97,Sheet8!C:C,Sheet8!A:A,"")</f>
        <v>09f6626a-fa13-4fea-a785-01671ff4e85e</v>
      </c>
      <c r="T97" t="s">
        <v>237</v>
      </c>
      <c r="U97" t="s">
        <v>778</v>
      </c>
      <c r="V97">
        <v>1</v>
      </c>
      <c r="W97">
        <v>1</v>
      </c>
      <c r="X97">
        <v>1</v>
      </c>
      <c r="Y97" s="1">
        <v>44490</v>
      </c>
    </row>
    <row r="98" spans="2:25" x14ac:dyDescent="0.25">
      <c r="B98" t="s">
        <v>330</v>
      </c>
      <c r="C98" t="s">
        <v>328</v>
      </c>
      <c r="D98" t="s">
        <v>320</v>
      </c>
      <c r="E98" t="s">
        <v>559</v>
      </c>
      <c r="F98" t="s">
        <v>557</v>
      </c>
      <c r="G98" t="s">
        <v>58</v>
      </c>
      <c r="H98" t="s">
        <v>606</v>
      </c>
      <c r="I98" t="s">
        <v>59</v>
      </c>
      <c r="J98" t="s">
        <v>674</v>
      </c>
      <c r="K98" t="s">
        <v>22</v>
      </c>
      <c r="L98" t="s">
        <v>60</v>
      </c>
      <c r="M98" t="str">
        <f>_xlfn.XLOOKUP(L98,Sheet11!C:C,Sheet11!A:A,"")</f>
        <v>f02b722d-ca57-42af-a033-74cb162c708e</v>
      </c>
      <c r="N98" t="s">
        <v>24</v>
      </c>
      <c r="O98" t="s">
        <v>716</v>
      </c>
      <c r="P98" t="s">
        <v>25</v>
      </c>
      <c r="Q98" t="s">
        <v>737</v>
      </c>
      <c r="R98" t="s">
        <v>26</v>
      </c>
      <c r="S98" t="str">
        <f>_xlfn.XLOOKUP(R98,Sheet8!C:C,Sheet8!A:A,"")</f>
        <v>09f6626a-fa13-4fea-a785-01671ff4e85e</v>
      </c>
      <c r="T98" t="s">
        <v>237</v>
      </c>
      <c r="U98" t="s">
        <v>778</v>
      </c>
      <c r="V98">
        <v>1</v>
      </c>
      <c r="W98">
        <v>1</v>
      </c>
      <c r="X98">
        <v>1</v>
      </c>
      <c r="Y98" s="1">
        <v>44543</v>
      </c>
    </row>
    <row r="99" spans="2:25" x14ac:dyDescent="0.25">
      <c r="B99" t="s">
        <v>332</v>
      </c>
      <c r="C99" t="s">
        <v>333</v>
      </c>
      <c r="D99" t="s">
        <v>326</v>
      </c>
      <c r="E99" t="s">
        <v>559</v>
      </c>
      <c r="F99" t="s">
        <v>557</v>
      </c>
      <c r="G99" t="s">
        <v>58</v>
      </c>
      <c r="H99" t="s">
        <v>606</v>
      </c>
      <c r="I99" t="s">
        <v>59</v>
      </c>
      <c r="J99" t="s">
        <v>674</v>
      </c>
      <c r="K99" t="s">
        <v>22</v>
      </c>
      <c r="L99" t="s">
        <v>60</v>
      </c>
      <c r="M99" t="str">
        <f>_xlfn.XLOOKUP(L99,Sheet11!C:C,Sheet11!A:A,"")</f>
        <v>f02b722d-ca57-42af-a033-74cb162c708e</v>
      </c>
      <c r="N99" t="s">
        <v>24</v>
      </c>
      <c r="O99" t="s">
        <v>716</v>
      </c>
      <c r="P99" t="s">
        <v>25</v>
      </c>
      <c r="Q99" t="s">
        <v>737</v>
      </c>
      <c r="R99" t="s">
        <v>26</v>
      </c>
      <c r="S99" t="str">
        <f>_xlfn.XLOOKUP(R99,Sheet8!C:C,Sheet8!A:A,"")</f>
        <v>09f6626a-fa13-4fea-a785-01671ff4e85e</v>
      </c>
      <c r="T99" t="s">
        <v>237</v>
      </c>
      <c r="U99" t="s">
        <v>778</v>
      </c>
      <c r="V99">
        <v>1</v>
      </c>
      <c r="W99">
        <v>1</v>
      </c>
      <c r="X99">
        <v>1</v>
      </c>
      <c r="Y99" s="1">
        <v>44543</v>
      </c>
    </row>
    <row r="100" spans="2:25" x14ac:dyDescent="0.25">
      <c r="B100" t="s">
        <v>332</v>
      </c>
      <c r="C100" t="s">
        <v>333</v>
      </c>
      <c r="D100" t="s">
        <v>329</v>
      </c>
      <c r="E100" t="s">
        <v>559</v>
      </c>
      <c r="F100" t="s">
        <v>557</v>
      </c>
      <c r="G100" t="s">
        <v>58</v>
      </c>
      <c r="H100" t="s">
        <v>606</v>
      </c>
      <c r="I100" t="s">
        <v>59</v>
      </c>
      <c r="J100" t="s">
        <v>674</v>
      </c>
      <c r="K100" t="s">
        <v>22</v>
      </c>
      <c r="L100" t="s">
        <v>60</v>
      </c>
      <c r="M100" t="str">
        <f>_xlfn.XLOOKUP(L100,Sheet11!C:C,Sheet11!A:A,"")</f>
        <v>f02b722d-ca57-42af-a033-74cb162c708e</v>
      </c>
      <c r="N100" t="s">
        <v>24</v>
      </c>
      <c r="O100" t="s">
        <v>716</v>
      </c>
      <c r="P100" t="s">
        <v>25</v>
      </c>
      <c r="Q100" t="s">
        <v>737</v>
      </c>
      <c r="R100" t="s">
        <v>26</v>
      </c>
      <c r="S100" t="str">
        <f>_xlfn.XLOOKUP(R100,Sheet8!C:C,Sheet8!A:A,"")</f>
        <v>09f6626a-fa13-4fea-a785-01671ff4e85e</v>
      </c>
      <c r="T100" t="s">
        <v>237</v>
      </c>
      <c r="U100" t="s">
        <v>778</v>
      </c>
      <c r="V100">
        <v>1</v>
      </c>
      <c r="W100">
        <v>1</v>
      </c>
      <c r="X100">
        <v>0</v>
      </c>
      <c r="Y100" s="1">
        <v>45312</v>
      </c>
    </row>
    <row r="101" spans="2:25" x14ac:dyDescent="0.25">
      <c r="B101" t="s">
        <v>336</v>
      </c>
      <c r="C101" t="s">
        <v>70</v>
      </c>
      <c r="D101" t="s">
        <v>331</v>
      </c>
      <c r="E101" t="s">
        <v>70</v>
      </c>
      <c r="F101" t="s">
        <v>548</v>
      </c>
      <c r="G101" t="s">
        <v>31</v>
      </c>
      <c r="H101" t="s">
        <v>610</v>
      </c>
      <c r="I101" t="s">
        <v>32</v>
      </c>
      <c r="J101" t="s">
        <v>668</v>
      </c>
      <c r="K101" t="s">
        <v>22</v>
      </c>
      <c r="L101" t="s">
        <v>68</v>
      </c>
      <c r="M101" t="str">
        <f>_xlfn.XLOOKUP(L101,Sheet11!C:C,Sheet11!A:A,"")</f>
        <v/>
      </c>
      <c r="N101" t="s">
        <v>24</v>
      </c>
      <c r="O101" t="s">
        <v>716</v>
      </c>
      <c r="P101" t="s">
        <v>25</v>
      </c>
      <c r="Q101" t="s">
        <v>737</v>
      </c>
      <c r="R101" t="s">
        <v>26</v>
      </c>
      <c r="S101" t="str">
        <f>_xlfn.XLOOKUP(R101,Sheet8!C:C,Sheet8!A:A,"")</f>
        <v>09f6626a-fa13-4fea-a785-01671ff4e85e</v>
      </c>
      <c r="T101" t="s">
        <v>237</v>
      </c>
      <c r="U101" t="s">
        <v>778</v>
      </c>
      <c r="V101">
        <v>1</v>
      </c>
      <c r="W101">
        <v>1</v>
      </c>
      <c r="X101">
        <v>1</v>
      </c>
      <c r="Y101" s="1">
        <v>44490</v>
      </c>
    </row>
    <row r="102" spans="2:25" x14ac:dyDescent="0.25">
      <c r="B102" t="s">
        <v>338</v>
      </c>
      <c r="C102" t="s">
        <v>339</v>
      </c>
      <c r="D102" t="s">
        <v>334</v>
      </c>
      <c r="E102" t="s">
        <v>31</v>
      </c>
      <c r="F102" t="s">
        <v>551</v>
      </c>
      <c r="G102" t="s">
        <v>31</v>
      </c>
      <c r="H102" t="s">
        <v>610</v>
      </c>
      <c r="I102" t="s">
        <v>32</v>
      </c>
      <c r="J102" t="s">
        <v>668</v>
      </c>
      <c r="K102" t="s">
        <v>22</v>
      </c>
      <c r="L102" t="s">
        <v>33</v>
      </c>
      <c r="M102" t="str">
        <f>_xlfn.XLOOKUP(L102,Sheet11!C:C,Sheet11!A:A,"")</f>
        <v/>
      </c>
      <c r="N102" t="s">
        <v>24</v>
      </c>
      <c r="O102" t="s">
        <v>716</v>
      </c>
      <c r="P102" t="s">
        <v>25</v>
      </c>
      <c r="Q102" t="s">
        <v>737</v>
      </c>
      <c r="R102" t="s">
        <v>26</v>
      </c>
      <c r="S102" t="str">
        <f>_xlfn.XLOOKUP(R102,Sheet8!C:C,Sheet8!A:A,"")</f>
        <v>09f6626a-fa13-4fea-a785-01671ff4e85e</v>
      </c>
      <c r="T102" t="s">
        <v>237</v>
      </c>
      <c r="U102" t="s">
        <v>778</v>
      </c>
      <c r="V102">
        <v>1</v>
      </c>
      <c r="W102">
        <v>1</v>
      </c>
      <c r="X102">
        <v>1</v>
      </c>
      <c r="Y102" s="1">
        <v>45464</v>
      </c>
    </row>
    <row r="103" spans="2:25" x14ac:dyDescent="0.25">
      <c r="B103" t="s">
        <v>341</v>
      </c>
      <c r="C103" t="s">
        <v>342</v>
      </c>
      <c r="D103" t="s">
        <v>335</v>
      </c>
      <c r="E103" t="s">
        <v>573</v>
      </c>
      <c r="F103" t="s">
        <v>571</v>
      </c>
      <c r="G103" t="s">
        <v>31</v>
      </c>
      <c r="H103" t="s">
        <v>610</v>
      </c>
      <c r="I103" t="s">
        <v>32</v>
      </c>
      <c r="J103" t="s">
        <v>668</v>
      </c>
      <c r="K103" t="s">
        <v>22</v>
      </c>
      <c r="L103" t="s">
        <v>33</v>
      </c>
      <c r="M103" t="str">
        <f>_xlfn.XLOOKUP(L103,Sheet11!C:C,Sheet11!A:A,"")</f>
        <v/>
      </c>
      <c r="N103" t="s">
        <v>24</v>
      </c>
      <c r="O103" t="s">
        <v>716</v>
      </c>
      <c r="P103" t="s">
        <v>25</v>
      </c>
      <c r="Q103" t="s">
        <v>737</v>
      </c>
      <c r="R103" t="s">
        <v>26</v>
      </c>
      <c r="S103" t="str">
        <f>_xlfn.XLOOKUP(R103,Sheet8!C:C,Sheet8!A:A,"")</f>
        <v>09f6626a-fa13-4fea-a785-01671ff4e85e</v>
      </c>
      <c r="T103" t="s">
        <v>237</v>
      </c>
      <c r="U103" t="s">
        <v>778</v>
      </c>
      <c r="V103">
        <v>1</v>
      </c>
      <c r="W103">
        <v>1</v>
      </c>
      <c r="X103">
        <v>1</v>
      </c>
      <c r="Y103" s="1">
        <v>45601</v>
      </c>
    </row>
    <row r="104" spans="2:25" x14ac:dyDescent="0.25">
      <c r="B104" t="s">
        <v>344</v>
      </c>
      <c r="C104" t="s">
        <v>345</v>
      </c>
      <c r="D104" t="s">
        <v>337</v>
      </c>
      <c r="E104" t="s">
        <v>543</v>
      </c>
      <c r="F104" t="s">
        <v>541</v>
      </c>
      <c r="G104" t="s">
        <v>37</v>
      </c>
      <c r="H104" t="s">
        <v>613</v>
      </c>
      <c r="I104" t="s">
        <v>38</v>
      </c>
      <c r="J104" t="s">
        <v>659</v>
      </c>
      <c r="K104" t="s">
        <v>22</v>
      </c>
      <c r="L104" t="s">
        <v>277</v>
      </c>
      <c r="M104" t="str">
        <f>_xlfn.XLOOKUP(L104,Sheet11!C:C,Sheet11!A:A,"")</f>
        <v>dc0cf930-f332-44fb-b70d-d0d38d45a75a</v>
      </c>
      <c r="N104" t="s">
        <v>24</v>
      </c>
      <c r="O104" t="s">
        <v>716</v>
      </c>
      <c r="P104" t="s">
        <v>25</v>
      </c>
      <c r="Q104" t="s">
        <v>737</v>
      </c>
      <c r="R104" t="s">
        <v>26</v>
      </c>
      <c r="S104" t="str">
        <f>_xlfn.XLOOKUP(R104,Sheet8!C:C,Sheet8!A:A,"")</f>
        <v>09f6626a-fa13-4fea-a785-01671ff4e85e</v>
      </c>
      <c r="T104" t="s">
        <v>237</v>
      </c>
      <c r="U104" t="s">
        <v>778</v>
      </c>
      <c r="V104">
        <v>1</v>
      </c>
      <c r="W104">
        <v>1</v>
      </c>
      <c r="X104">
        <v>1</v>
      </c>
      <c r="Y104" s="1">
        <v>44490</v>
      </c>
    </row>
    <row r="105" spans="2:25" x14ac:dyDescent="0.25">
      <c r="B105" t="s">
        <v>347</v>
      </c>
      <c r="C105" t="s">
        <v>216</v>
      </c>
      <c r="D105" t="s">
        <v>340</v>
      </c>
      <c r="E105" t="s">
        <v>543</v>
      </c>
      <c r="F105" t="s">
        <v>541</v>
      </c>
      <c r="G105" t="s">
        <v>37</v>
      </c>
      <c r="H105" t="s">
        <v>613</v>
      </c>
      <c r="I105" t="s">
        <v>79</v>
      </c>
      <c r="J105" t="s">
        <v>687</v>
      </c>
      <c r="K105" t="s">
        <v>22</v>
      </c>
      <c r="L105" t="s">
        <v>76</v>
      </c>
      <c r="M105" t="str">
        <f>_xlfn.XLOOKUP(L105,Sheet11!C:C,Sheet11!A:A,"")</f>
        <v/>
      </c>
      <c r="N105" t="s">
        <v>24</v>
      </c>
      <c r="O105" t="s">
        <v>716</v>
      </c>
      <c r="P105" t="s">
        <v>25</v>
      </c>
      <c r="Q105" t="s">
        <v>737</v>
      </c>
      <c r="R105" t="s">
        <v>26</v>
      </c>
      <c r="S105" t="str">
        <f>_xlfn.XLOOKUP(R105,Sheet8!C:C,Sheet8!A:A,"")</f>
        <v>09f6626a-fa13-4fea-a785-01671ff4e85e</v>
      </c>
      <c r="T105" t="s">
        <v>237</v>
      </c>
      <c r="U105" t="s">
        <v>778</v>
      </c>
      <c r="V105">
        <v>1</v>
      </c>
      <c r="W105">
        <v>1</v>
      </c>
      <c r="X105">
        <v>1</v>
      </c>
      <c r="Y105" s="1">
        <v>44490</v>
      </c>
    </row>
    <row r="106" spans="2:25" x14ac:dyDescent="0.25">
      <c r="B106" t="s">
        <v>347</v>
      </c>
      <c r="C106" t="s">
        <v>216</v>
      </c>
      <c r="D106" t="s">
        <v>343</v>
      </c>
      <c r="E106" t="s">
        <v>79</v>
      </c>
      <c r="F106" t="s">
        <v>538</v>
      </c>
      <c r="G106" t="s">
        <v>37</v>
      </c>
      <c r="H106" t="s">
        <v>613</v>
      </c>
      <c r="I106" t="s">
        <v>79</v>
      </c>
      <c r="J106" t="s">
        <v>687</v>
      </c>
      <c r="K106" t="s">
        <v>22</v>
      </c>
      <c r="L106" t="s">
        <v>76</v>
      </c>
      <c r="M106" t="str">
        <f>_xlfn.XLOOKUP(L106,Sheet11!C:C,Sheet11!A:A,"")</f>
        <v/>
      </c>
      <c r="N106" t="s">
        <v>24</v>
      </c>
      <c r="O106" t="s">
        <v>716</v>
      </c>
      <c r="P106" t="s">
        <v>25</v>
      </c>
      <c r="Q106" t="s">
        <v>737</v>
      </c>
      <c r="R106" t="s">
        <v>26</v>
      </c>
      <c r="S106" t="str">
        <f>_xlfn.XLOOKUP(R106,Sheet8!C:C,Sheet8!A:A,"")</f>
        <v>09f6626a-fa13-4fea-a785-01671ff4e85e</v>
      </c>
      <c r="T106" t="s">
        <v>237</v>
      </c>
      <c r="U106" t="s">
        <v>778</v>
      </c>
      <c r="V106">
        <v>1</v>
      </c>
      <c r="W106">
        <v>1</v>
      </c>
      <c r="X106">
        <v>0</v>
      </c>
      <c r="Y106" s="1">
        <v>45312</v>
      </c>
    </row>
    <row r="107" spans="2:25" x14ac:dyDescent="0.25">
      <c r="B107" t="s">
        <v>347</v>
      </c>
      <c r="C107" t="s">
        <v>216</v>
      </c>
      <c r="D107" t="s">
        <v>346</v>
      </c>
      <c r="E107" t="s">
        <v>79</v>
      </c>
      <c r="F107" t="s">
        <v>538</v>
      </c>
      <c r="G107" t="s">
        <v>37</v>
      </c>
      <c r="H107" t="s">
        <v>613</v>
      </c>
      <c r="I107" t="s">
        <v>79</v>
      </c>
      <c r="J107" t="s">
        <v>687</v>
      </c>
      <c r="K107" t="s">
        <v>22</v>
      </c>
      <c r="L107" t="s">
        <v>351</v>
      </c>
      <c r="M107" t="str">
        <f>_xlfn.XLOOKUP(L107,Sheet11!C:C,Sheet11!A:A,"")</f>
        <v/>
      </c>
      <c r="N107" t="s">
        <v>24</v>
      </c>
      <c r="O107" t="s">
        <v>716</v>
      </c>
      <c r="P107" t="s">
        <v>25</v>
      </c>
      <c r="Q107" t="s">
        <v>737</v>
      </c>
      <c r="R107" t="s">
        <v>26</v>
      </c>
      <c r="S107" t="str">
        <f>_xlfn.XLOOKUP(R107,Sheet8!C:C,Sheet8!A:A,"")</f>
        <v>09f6626a-fa13-4fea-a785-01671ff4e85e</v>
      </c>
      <c r="T107" t="s">
        <v>237</v>
      </c>
      <c r="U107" t="s">
        <v>778</v>
      </c>
      <c r="V107">
        <v>1</v>
      </c>
      <c r="W107">
        <v>1</v>
      </c>
      <c r="X107">
        <v>0</v>
      </c>
      <c r="Y107" s="1">
        <v>45658</v>
      </c>
    </row>
    <row r="108" spans="2:25" x14ac:dyDescent="0.25">
      <c r="B108" t="s">
        <v>347</v>
      </c>
      <c r="C108" t="s">
        <v>216</v>
      </c>
      <c r="D108" t="s">
        <v>348</v>
      </c>
      <c r="E108" t="s">
        <v>79</v>
      </c>
      <c r="F108" t="s">
        <v>538</v>
      </c>
      <c r="G108" t="s">
        <v>37</v>
      </c>
      <c r="H108" t="s">
        <v>613</v>
      </c>
      <c r="I108" t="s">
        <v>79</v>
      </c>
      <c r="J108" t="s">
        <v>687</v>
      </c>
      <c r="K108" t="s">
        <v>22</v>
      </c>
      <c r="L108" t="s">
        <v>351</v>
      </c>
      <c r="M108" t="str">
        <f>_xlfn.XLOOKUP(L108,Sheet11!C:C,Sheet11!A:A,"")</f>
        <v/>
      </c>
      <c r="N108" t="s">
        <v>24</v>
      </c>
      <c r="O108" t="s">
        <v>716</v>
      </c>
      <c r="P108" t="s">
        <v>25</v>
      </c>
      <c r="Q108" t="s">
        <v>737</v>
      </c>
      <c r="R108" t="s">
        <v>26</v>
      </c>
      <c r="S108" t="str">
        <f>_xlfn.XLOOKUP(R108,Sheet8!C:C,Sheet8!A:A,"")</f>
        <v>09f6626a-fa13-4fea-a785-01671ff4e85e</v>
      </c>
      <c r="T108" t="s">
        <v>237</v>
      </c>
      <c r="U108" t="s">
        <v>778</v>
      </c>
      <c r="V108">
        <v>1</v>
      </c>
      <c r="W108">
        <v>1</v>
      </c>
      <c r="X108">
        <v>0</v>
      </c>
      <c r="Y108" s="1">
        <v>45658</v>
      </c>
    </row>
    <row r="109" spans="2:25" x14ac:dyDescent="0.25">
      <c r="B109" t="s">
        <v>353</v>
      </c>
      <c r="C109" t="s">
        <v>354</v>
      </c>
      <c r="D109" t="s">
        <v>349</v>
      </c>
      <c r="E109" t="s">
        <v>356</v>
      </c>
      <c r="F109" t="s">
        <v>463</v>
      </c>
      <c r="G109" t="s">
        <v>83</v>
      </c>
      <c r="H109" t="s">
        <v>618</v>
      </c>
      <c r="I109" t="s">
        <v>83</v>
      </c>
      <c r="J109" t="s">
        <v>634</v>
      </c>
      <c r="K109" t="s">
        <v>22</v>
      </c>
      <c r="L109" t="s">
        <v>84</v>
      </c>
      <c r="M109" t="str">
        <f>_xlfn.XLOOKUP(L109,Sheet11!C:C,Sheet11!A:A,"")</f>
        <v>4fae55ef-468d-403a-a7ea-3f6f0bf2df2b</v>
      </c>
      <c r="N109" t="s">
        <v>24</v>
      </c>
      <c r="O109" t="s">
        <v>716</v>
      </c>
      <c r="P109" t="s">
        <v>25</v>
      </c>
      <c r="Q109" t="s">
        <v>737</v>
      </c>
      <c r="R109" t="s">
        <v>26</v>
      </c>
      <c r="S109" t="str">
        <f>_xlfn.XLOOKUP(R109,Sheet8!C:C,Sheet8!A:A,"")</f>
        <v>09f6626a-fa13-4fea-a785-01671ff4e85e</v>
      </c>
      <c r="T109" t="s">
        <v>237</v>
      </c>
      <c r="U109" t="s">
        <v>778</v>
      </c>
      <c r="V109">
        <v>1</v>
      </c>
      <c r="W109">
        <v>1</v>
      </c>
      <c r="X109">
        <v>1</v>
      </c>
      <c r="Y109" s="1">
        <v>44564</v>
      </c>
    </row>
    <row r="110" spans="2:25" x14ac:dyDescent="0.25">
      <c r="B110" t="s">
        <v>357</v>
      </c>
      <c r="C110" t="s">
        <v>272</v>
      </c>
      <c r="D110" t="s">
        <v>350</v>
      </c>
      <c r="E110" t="s">
        <v>359</v>
      </c>
      <c r="F110" t="s">
        <v>554</v>
      </c>
      <c r="G110" t="s">
        <v>142</v>
      </c>
      <c r="H110" t="s">
        <v>601</v>
      </c>
      <c r="I110" t="s">
        <v>271</v>
      </c>
      <c r="J110" t="s">
        <v>671</v>
      </c>
      <c r="K110" t="s">
        <v>22</v>
      </c>
      <c r="L110" t="s">
        <v>360</v>
      </c>
      <c r="M110" t="str">
        <f>_xlfn.XLOOKUP(L110,Sheet11!C:C,Sheet11!A:A,"")</f>
        <v>d99c93d3-1c14-4c24-863b-235d00eaee56</v>
      </c>
      <c r="N110" t="s">
        <v>24</v>
      </c>
      <c r="O110" t="s">
        <v>716</v>
      </c>
      <c r="P110" t="s">
        <v>25</v>
      </c>
      <c r="Q110" t="s">
        <v>737</v>
      </c>
      <c r="R110" t="s">
        <v>26</v>
      </c>
      <c r="S110" t="str">
        <f>_xlfn.XLOOKUP(R110,Sheet8!C:C,Sheet8!A:A,"")</f>
        <v>09f6626a-fa13-4fea-a785-01671ff4e85e</v>
      </c>
      <c r="T110" t="s">
        <v>237</v>
      </c>
      <c r="U110" t="s">
        <v>778</v>
      </c>
      <c r="V110">
        <v>1</v>
      </c>
      <c r="W110">
        <v>1</v>
      </c>
      <c r="X110">
        <v>1</v>
      </c>
      <c r="Y110" s="1">
        <v>42736</v>
      </c>
    </row>
    <row r="111" spans="2:25" x14ac:dyDescent="0.25">
      <c r="B111" t="s">
        <v>361</v>
      </c>
      <c r="C111" t="s">
        <v>362</v>
      </c>
      <c r="D111" t="s">
        <v>352</v>
      </c>
      <c r="E111" t="s">
        <v>359</v>
      </c>
      <c r="F111" t="s">
        <v>554</v>
      </c>
      <c r="G111" t="s">
        <v>142</v>
      </c>
      <c r="H111" t="s">
        <v>601</v>
      </c>
      <c r="I111" t="s">
        <v>271</v>
      </c>
      <c r="J111" t="s">
        <v>671</v>
      </c>
      <c r="K111" t="s">
        <v>22</v>
      </c>
      <c r="L111" t="s">
        <v>144</v>
      </c>
      <c r="M111" t="str">
        <f>_xlfn.XLOOKUP(L111,Sheet11!C:C,Sheet11!A:A,"")</f>
        <v/>
      </c>
      <c r="N111" t="s">
        <v>24</v>
      </c>
      <c r="O111" t="s">
        <v>716</v>
      </c>
      <c r="P111" t="s">
        <v>25</v>
      </c>
      <c r="Q111" t="s">
        <v>737</v>
      </c>
      <c r="R111" t="s">
        <v>26</v>
      </c>
      <c r="S111" t="str">
        <f>_xlfn.XLOOKUP(R111,Sheet8!C:C,Sheet8!A:A,"")</f>
        <v>09f6626a-fa13-4fea-a785-01671ff4e85e</v>
      </c>
      <c r="T111" t="s">
        <v>237</v>
      </c>
      <c r="U111" t="s">
        <v>778</v>
      </c>
      <c r="V111">
        <v>1</v>
      </c>
      <c r="W111">
        <v>1</v>
      </c>
      <c r="X111">
        <v>1</v>
      </c>
      <c r="Y111" s="1">
        <v>46023</v>
      </c>
    </row>
    <row r="112" spans="2:25" x14ac:dyDescent="0.25">
      <c r="B112" t="s">
        <v>364</v>
      </c>
      <c r="C112" t="s">
        <v>365</v>
      </c>
      <c r="D112" t="s">
        <v>355</v>
      </c>
      <c r="E112" t="s">
        <v>543</v>
      </c>
      <c r="F112" t="s">
        <v>541</v>
      </c>
      <c r="G112" t="s">
        <v>38</v>
      </c>
      <c r="H112" t="s">
        <v>623</v>
      </c>
      <c r="I112" t="s">
        <v>38</v>
      </c>
      <c r="J112" t="s">
        <v>659</v>
      </c>
      <c r="K112" t="s">
        <v>22</v>
      </c>
      <c r="L112" t="s">
        <v>277</v>
      </c>
      <c r="M112" t="str">
        <f>_xlfn.XLOOKUP(L112,Sheet11!C:C,Sheet11!A:A,"")</f>
        <v>dc0cf930-f332-44fb-b70d-d0d38d45a75a</v>
      </c>
      <c r="N112" t="s">
        <v>24</v>
      </c>
      <c r="O112" t="s">
        <v>716</v>
      </c>
      <c r="P112" t="s">
        <v>25</v>
      </c>
      <c r="Q112" t="s">
        <v>737</v>
      </c>
      <c r="R112" t="s">
        <v>26</v>
      </c>
      <c r="S112" t="str">
        <f>_xlfn.XLOOKUP(R112,Sheet8!C:C,Sheet8!A:A,"")</f>
        <v>09f6626a-fa13-4fea-a785-01671ff4e85e</v>
      </c>
      <c r="T112" t="s">
        <v>237</v>
      </c>
      <c r="U112" t="s">
        <v>778</v>
      </c>
      <c r="V112">
        <v>1</v>
      </c>
      <c r="W112">
        <v>1</v>
      </c>
      <c r="X112">
        <v>1</v>
      </c>
      <c r="Y112" s="1">
        <v>44490</v>
      </c>
    </row>
    <row r="113" spans="2:25" x14ac:dyDescent="0.25">
      <c r="B113" t="s">
        <v>367</v>
      </c>
      <c r="C113" t="s">
        <v>368</v>
      </c>
      <c r="D113" t="s">
        <v>358</v>
      </c>
      <c r="E113" t="s">
        <v>19</v>
      </c>
      <c r="F113" t="s">
        <v>515</v>
      </c>
      <c r="G113" t="s">
        <v>20</v>
      </c>
      <c r="H113" t="s">
        <v>588</v>
      </c>
      <c r="I113" t="s">
        <v>95</v>
      </c>
      <c r="J113" t="s">
        <v>697</v>
      </c>
      <c r="K113" t="s">
        <v>22</v>
      </c>
      <c r="L113" t="s">
        <v>23</v>
      </c>
      <c r="M113" t="str">
        <f>_xlfn.XLOOKUP(L113,Sheet11!C:C,Sheet11!A:A,"")</f>
        <v>2d22cf03-e3da-4e44-be90-66770884d540</v>
      </c>
      <c r="N113" t="s">
        <v>24</v>
      </c>
      <c r="O113" t="s">
        <v>716</v>
      </c>
      <c r="P113" t="s">
        <v>207</v>
      </c>
      <c r="Q113" t="s">
        <v>747</v>
      </c>
      <c r="R113" t="s">
        <v>26</v>
      </c>
      <c r="S113" t="str">
        <f>_xlfn.XLOOKUP(R113,Sheet8!C:C,Sheet8!A:A,"")</f>
        <v>09f6626a-fa13-4fea-a785-01671ff4e85e</v>
      </c>
      <c r="T113" t="s">
        <v>237</v>
      </c>
      <c r="U113" t="s">
        <v>778</v>
      </c>
      <c r="V113">
        <v>1</v>
      </c>
      <c r="W113">
        <v>1</v>
      </c>
      <c r="X113">
        <v>1</v>
      </c>
      <c r="Y113" s="1">
        <v>44490</v>
      </c>
    </row>
    <row r="114" spans="2:25" x14ac:dyDescent="0.25">
      <c r="B114" t="s">
        <v>370</v>
      </c>
      <c r="C114" t="s">
        <v>371</v>
      </c>
      <c r="D114" t="s">
        <v>363</v>
      </c>
      <c r="E114" t="s">
        <v>19</v>
      </c>
      <c r="F114" t="s">
        <v>515</v>
      </c>
      <c r="G114" t="s">
        <v>20</v>
      </c>
      <c r="H114" t="s">
        <v>588</v>
      </c>
      <c r="I114" t="s">
        <v>95</v>
      </c>
      <c r="J114" t="s">
        <v>697</v>
      </c>
      <c r="K114" t="s">
        <v>22</v>
      </c>
      <c r="L114" t="s">
        <v>291</v>
      </c>
      <c r="M114" t="str">
        <f>_xlfn.XLOOKUP(L114,Sheet11!C:C,Sheet11!A:A,"")</f>
        <v>a82fd4d9-3efa-4922-b1f6-4863cb5c09bb</v>
      </c>
      <c r="N114" t="s">
        <v>24</v>
      </c>
      <c r="O114" t="s">
        <v>716</v>
      </c>
      <c r="P114" t="s">
        <v>207</v>
      </c>
      <c r="Q114" t="s">
        <v>747</v>
      </c>
      <c r="R114" t="s">
        <v>26</v>
      </c>
      <c r="S114" t="str">
        <f>_xlfn.XLOOKUP(R114,Sheet8!C:C,Sheet8!A:A,"")</f>
        <v>09f6626a-fa13-4fea-a785-01671ff4e85e</v>
      </c>
      <c r="T114" t="s">
        <v>237</v>
      </c>
      <c r="U114" t="s">
        <v>778</v>
      </c>
      <c r="V114">
        <v>1</v>
      </c>
      <c r="W114">
        <v>1</v>
      </c>
      <c r="X114">
        <v>0</v>
      </c>
      <c r="Y114" s="1">
        <v>42736</v>
      </c>
    </row>
    <row r="115" spans="2:25" x14ac:dyDescent="0.25">
      <c r="B115" t="s">
        <v>373</v>
      </c>
      <c r="C115" t="s">
        <v>374</v>
      </c>
      <c r="D115" t="s">
        <v>366</v>
      </c>
      <c r="E115" t="s">
        <v>70</v>
      </c>
      <c r="F115" t="s">
        <v>548</v>
      </c>
      <c r="G115" t="s">
        <v>31</v>
      </c>
      <c r="H115" t="s">
        <v>610</v>
      </c>
      <c r="I115" t="s">
        <v>32</v>
      </c>
      <c r="J115" t="s">
        <v>668</v>
      </c>
      <c r="K115" t="s">
        <v>22</v>
      </c>
      <c r="L115" t="s">
        <v>360</v>
      </c>
      <c r="M115" t="str">
        <f>_xlfn.XLOOKUP(L115,Sheet11!C:C,Sheet11!A:A,"")</f>
        <v>d99c93d3-1c14-4c24-863b-235d00eaee56</v>
      </c>
      <c r="N115" t="s">
        <v>24</v>
      </c>
      <c r="O115" t="s">
        <v>716</v>
      </c>
      <c r="P115" t="s">
        <v>207</v>
      </c>
      <c r="Q115" t="s">
        <v>747</v>
      </c>
      <c r="R115" t="s">
        <v>26</v>
      </c>
      <c r="S115" t="str">
        <f>_xlfn.XLOOKUP(R115,Sheet8!C:C,Sheet8!A:A,"")</f>
        <v>09f6626a-fa13-4fea-a785-01671ff4e85e</v>
      </c>
      <c r="T115" t="s">
        <v>237</v>
      </c>
      <c r="U115" t="s">
        <v>778</v>
      </c>
      <c r="V115">
        <v>1</v>
      </c>
      <c r="W115">
        <v>1</v>
      </c>
      <c r="X115">
        <v>1</v>
      </c>
      <c r="Y115" s="1">
        <v>44564</v>
      </c>
    </row>
    <row r="116" spans="2:25" x14ac:dyDescent="0.25">
      <c r="B116" t="s">
        <v>376</v>
      </c>
      <c r="C116" t="s">
        <v>293</v>
      </c>
      <c r="D116" t="s">
        <v>369</v>
      </c>
      <c r="E116" t="s">
        <v>211</v>
      </c>
      <c r="F116" t="s">
        <v>532</v>
      </c>
      <c r="G116" t="s">
        <v>37</v>
      </c>
      <c r="H116" t="s">
        <v>613</v>
      </c>
      <c r="I116" t="s">
        <v>79</v>
      </c>
      <c r="J116" t="s">
        <v>687</v>
      </c>
      <c r="K116" t="s">
        <v>22</v>
      </c>
      <c r="L116" t="s">
        <v>216</v>
      </c>
      <c r="M116" t="str">
        <f>_xlfn.XLOOKUP(L116,Sheet11!C:C,Sheet11!A:A,"")</f>
        <v/>
      </c>
      <c r="N116" t="s">
        <v>24</v>
      </c>
      <c r="O116" t="s">
        <v>716</v>
      </c>
      <c r="P116" t="s">
        <v>207</v>
      </c>
      <c r="Q116" t="s">
        <v>747</v>
      </c>
      <c r="R116" t="s">
        <v>26</v>
      </c>
      <c r="S116" t="str">
        <f>_xlfn.XLOOKUP(R116,Sheet8!C:C,Sheet8!A:A,"")</f>
        <v>09f6626a-fa13-4fea-a785-01671ff4e85e</v>
      </c>
      <c r="T116" t="s">
        <v>237</v>
      </c>
      <c r="U116" t="s">
        <v>778</v>
      </c>
      <c r="V116">
        <v>1</v>
      </c>
      <c r="W116">
        <v>1</v>
      </c>
      <c r="X116">
        <v>1</v>
      </c>
      <c r="Y116" s="1">
        <v>45758</v>
      </c>
    </row>
    <row r="117" spans="2:25" x14ac:dyDescent="0.25">
      <c r="B117" t="s">
        <v>376</v>
      </c>
      <c r="C117" t="s">
        <v>293</v>
      </c>
      <c r="D117" t="s">
        <v>372</v>
      </c>
      <c r="E117" t="s">
        <v>211</v>
      </c>
      <c r="F117" t="s">
        <v>532</v>
      </c>
      <c r="G117" t="s">
        <v>37</v>
      </c>
      <c r="H117" t="s">
        <v>613</v>
      </c>
      <c r="I117" t="s">
        <v>79</v>
      </c>
      <c r="J117" t="s">
        <v>687</v>
      </c>
      <c r="K117" t="s">
        <v>22</v>
      </c>
      <c r="L117" t="s">
        <v>216</v>
      </c>
      <c r="M117" t="str">
        <f>_xlfn.XLOOKUP(L117,Sheet11!C:C,Sheet11!A:A,"")</f>
        <v/>
      </c>
      <c r="N117" t="s">
        <v>24</v>
      </c>
      <c r="O117" t="s">
        <v>716</v>
      </c>
      <c r="P117" t="s">
        <v>207</v>
      </c>
      <c r="Q117" t="s">
        <v>747</v>
      </c>
      <c r="R117" t="s">
        <v>26</v>
      </c>
      <c r="S117" t="str">
        <f>_xlfn.XLOOKUP(R117,Sheet8!C:C,Sheet8!A:A,"")</f>
        <v>09f6626a-fa13-4fea-a785-01671ff4e85e</v>
      </c>
      <c r="T117" t="s">
        <v>237</v>
      </c>
      <c r="U117" t="s">
        <v>778</v>
      </c>
      <c r="V117">
        <v>1</v>
      </c>
      <c r="W117">
        <v>1</v>
      </c>
      <c r="X117">
        <v>1</v>
      </c>
      <c r="Y117" s="1">
        <v>45758</v>
      </c>
    </row>
    <row r="118" spans="2:25" x14ac:dyDescent="0.25">
      <c r="B118" t="s">
        <v>376</v>
      </c>
      <c r="C118" t="s">
        <v>293</v>
      </c>
      <c r="D118" t="s">
        <v>375</v>
      </c>
      <c r="E118" t="s">
        <v>211</v>
      </c>
      <c r="F118" t="s">
        <v>532</v>
      </c>
      <c r="G118" t="s">
        <v>37</v>
      </c>
      <c r="H118" t="s">
        <v>613</v>
      </c>
      <c r="I118" t="s">
        <v>79</v>
      </c>
      <c r="J118" t="s">
        <v>687</v>
      </c>
      <c r="K118" t="s">
        <v>22</v>
      </c>
      <c r="L118" t="s">
        <v>216</v>
      </c>
      <c r="M118" t="str">
        <f>_xlfn.XLOOKUP(L118,Sheet11!C:C,Sheet11!A:A,"")</f>
        <v/>
      </c>
      <c r="N118" t="s">
        <v>24</v>
      </c>
      <c r="O118" t="s">
        <v>716</v>
      </c>
      <c r="P118" t="s">
        <v>207</v>
      </c>
      <c r="Q118" t="s">
        <v>747</v>
      </c>
      <c r="R118" t="s">
        <v>26</v>
      </c>
      <c r="S118" t="str">
        <f>_xlfn.XLOOKUP(R118,Sheet8!C:C,Sheet8!A:A,"")</f>
        <v>09f6626a-fa13-4fea-a785-01671ff4e85e</v>
      </c>
      <c r="T118" t="s">
        <v>237</v>
      </c>
      <c r="U118" t="s">
        <v>778</v>
      </c>
      <c r="V118">
        <v>1</v>
      </c>
      <c r="W118">
        <v>1</v>
      </c>
      <c r="X118">
        <v>1</v>
      </c>
      <c r="Y118" s="1">
        <v>45758</v>
      </c>
    </row>
    <row r="119" spans="2:25" x14ac:dyDescent="0.25">
      <c r="B119" t="s">
        <v>380</v>
      </c>
      <c r="C119" t="s">
        <v>193</v>
      </c>
      <c r="D119" t="s">
        <v>377</v>
      </c>
      <c r="E119" t="s">
        <v>192</v>
      </c>
      <c r="F119" t="s">
        <v>529</v>
      </c>
      <c r="G119" t="s">
        <v>37</v>
      </c>
      <c r="H119" t="s">
        <v>613</v>
      </c>
      <c r="I119" t="s">
        <v>79</v>
      </c>
      <c r="J119" t="s">
        <v>687</v>
      </c>
      <c r="K119" t="s">
        <v>22</v>
      </c>
      <c r="L119" t="s">
        <v>76</v>
      </c>
      <c r="M119" t="str">
        <f>_xlfn.XLOOKUP(L119,Sheet11!C:C,Sheet11!A:A,"")</f>
        <v/>
      </c>
      <c r="N119" t="s">
        <v>24</v>
      </c>
      <c r="O119" t="s">
        <v>716</v>
      </c>
      <c r="P119" t="s">
        <v>25</v>
      </c>
      <c r="Q119" t="s">
        <v>737</v>
      </c>
      <c r="R119" t="s">
        <v>90</v>
      </c>
      <c r="S119" t="str">
        <f>_xlfn.XLOOKUP(R119,Sheet8!C:C,Sheet8!A:A,"")</f>
        <v>be1db140-88b0-4b68-a8be-531940183459</v>
      </c>
      <c r="T119" t="s">
        <v>237</v>
      </c>
      <c r="U119" t="s">
        <v>778</v>
      </c>
      <c r="V119">
        <v>1</v>
      </c>
      <c r="W119">
        <v>1</v>
      </c>
      <c r="X119">
        <v>1</v>
      </c>
      <c r="Y119" s="1">
        <v>44490</v>
      </c>
    </row>
    <row r="120" spans="2:25" x14ac:dyDescent="0.25">
      <c r="B120" t="s">
        <v>382</v>
      </c>
      <c r="C120" t="s">
        <v>383</v>
      </c>
      <c r="D120" t="s">
        <v>378</v>
      </c>
      <c r="E120" t="s">
        <v>94</v>
      </c>
      <c r="F120" t="s">
        <v>575</v>
      </c>
      <c r="G120" t="s">
        <v>142</v>
      </c>
      <c r="H120" t="s">
        <v>601</v>
      </c>
      <c r="I120" t="s">
        <v>148</v>
      </c>
      <c r="J120" t="s">
        <v>677</v>
      </c>
      <c r="K120" t="s">
        <v>96</v>
      </c>
      <c r="L120" t="s">
        <v>149</v>
      </c>
      <c r="M120" t="str">
        <f>_xlfn.XLOOKUP(L120,Sheet11!C:C,Sheet11!A:A,"")</f>
        <v/>
      </c>
      <c r="N120" t="s">
        <v>98</v>
      </c>
      <c r="O120" t="s">
        <v>710</v>
      </c>
      <c r="P120" t="s">
        <v>99</v>
      </c>
      <c r="Q120" t="s">
        <v>731</v>
      </c>
      <c r="R120" t="s">
        <v>26</v>
      </c>
      <c r="S120" t="str">
        <f>_xlfn.XLOOKUP(R120,Sheet8!C:C,Sheet8!A:A,"")</f>
        <v>09f6626a-fa13-4fea-a785-01671ff4e85e</v>
      </c>
      <c r="T120" t="s">
        <v>385</v>
      </c>
      <c r="U120" t="s">
        <v>781</v>
      </c>
      <c r="V120">
        <v>1</v>
      </c>
      <c r="W120">
        <v>1</v>
      </c>
      <c r="X120">
        <v>1</v>
      </c>
      <c r="Y120" s="1">
        <v>45713</v>
      </c>
    </row>
    <row r="121" spans="2:25" x14ac:dyDescent="0.25">
      <c r="B121" t="s">
        <v>386</v>
      </c>
      <c r="C121" t="s">
        <v>387</v>
      </c>
      <c r="D121" t="s">
        <v>379</v>
      </c>
      <c r="E121" t="s">
        <v>563</v>
      </c>
      <c r="F121" t="s">
        <v>561</v>
      </c>
      <c r="G121" t="s">
        <v>142</v>
      </c>
      <c r="H121" t="s">
        <v>601</v>
      </c>
      <c r="I121" t="s">
        <v>148</v>
      </c>
      <c r="J121" t="s">
        <v>677</v>
      </c>
      <c r="K121" t="s">
        <v>22</v>
      </c>
      <c r="L121" t="s">
        <v>149</v>
      </c>
      <c r="M121" t="str">
        <f>_xlfn.XLOOKUP(L121,Sheet11!C:C,Sheet11!A:A,"")</f>
        <v/>
      </c>
      <c r="N121" t="s">
        <v>154</v>
      </c>
      <c r="O121" t="s">
        <v>713</v>
      </c>
      <c r="P121" t="s">
        <v>155</v>
      </c>
      <c r="Q121" t="s">
        <v>734</v>
      </c>
      <c r="R121" t="s">
        <v>26</v>
      </c>
      <c r="S121" t="str">
        <f>_xlfn.XLOOKUP(R121,Sheet8!C:C,Sheet8!A:A,"")</f>
        <v>09f6626a-fa13-4fea-a785-01671ff4e85e</v>
      </c>
      <c r="T121" t="s">
        <v>385</v>
      </c>
      <c r="U121" t="s">
        <v>781</v>
      </c>
      <c r="V121">
        <v>1</v>
      </c>
      <c r="W121">
        <v>1</v>
      </c>
      <c r="X121">
        <v>1</v>
      </c>
      <c r="Y121" s="1">
        <v>44573</v>
      </c>
    </row>
    <row r="122" spans="2:25" x14ac:dyDescent="0.25">
      <c r="B122" t="s">
        <v>389</v>
      </c>
      <c r="C122" t="s">
        <v>390</v>
      </c>
      <c r="D122" t="s">
        <v>381</v>
      </c>
      <c r="E122" t="s">
        <v>19</v>
      </c>
      <c r="F122" t="s">
        <v>515</v>
      </c>
      <c r="G122" t="s">
        <v>20</v>
      </c>
      <c r="H122" t="s">
        <v>588</v>
      </c>
      <c r="I122" t="s">
        <v>95</v>
      </c>
      <c r="J122" t="s">
        <v>697</v>
      </c>
      <c r="K122" t="s">
        <v>22</v>
      </c>
      <c r="L122" t="s">
        <v>23</v>
      </c>
      <c r="M122" t="str">
        <f>_xlfn.XLOOKUP(L122,Sheet11!C:C,Sheet11!A:A,"")</f>
        <v>2d22cf03-e3da-4e44-be90-66770884d540</v>
      </c>
      <c r="N122" t="s">
        <v>24</v>
      </c>
      <c r="O122" t="s">
        <v>716</v>
      </c>
      <c r="P122" t="s">
        <v>25</v>
      </c>
      <c r="Q122" t="s">
        <v>737</v>
      </c>
      <c r="R122" t="s">
        <v>26</v>
      </c>
      <c r="S122" t="str">
        <f>_xlfn.XLOOKUP(R122,Sheet8!C:C,Sheet8!A:A,"")</f>
        <v>09f6626a-fa13-4fea-a785-01671ff4e85e</v>
      </c>
      <c r="T122" t="s">
        <v>385</v>
      </c>
      <c r="U122" t="s">
        <v>781</v>
      </c>
      <c r="V122">
        <v>1</v>
      </c>
      <c r="W122">
        <v>1</v>
      </c>
      <c r="X122">
        <v>1</v>
      </c>
      <c r="Y122" s="1">
        <v>44564</v>
      </c>
    </row>
    <row r="123" spans="2:25" x14ac:dyDescent="0.25">
      <c r="B123" t="s">
        <v>392</v>
      </c>
      <c r="C123" t="s">
        <v>244</v>
      </c>
      <c r="D123" t="s">
        <v>384</v>
      </c>
      <c r="E123" t="s">
        <v>394</v>
      </c>
      <c r="F123" t="s">
        <v>469</v>
      </c>
      <c r="G123" t="s">
        <v>49</v>
      </c>
      <c r="H123" t="s">
        <v>592</v>
      </c>
      <c r="I123" t="s">
        <v>49</v>
      </c>
      <c r="J123" t="s">
        <v>637</v>
      </c>
      <c r="K123" t="s">
        <v>22</v>
      </c>
      <c r="L123" t="s">
        <v>51</v>
      </c>
      <c r="M123" t="str">
        <f>_xlfn.XLOOKUP(L123,Sheet11!C:C,Sheet11!A:A,"")</f>
        <v>942745ac-02ff-4409-822b-677a97cf117a</v>
      </c>
      <c r="N123" t="s">
        <v>24</v>
      </c>
      <c r="O123" t="s">
        <v>716</v>
      </c>
      <c r="P123" t="s">
        <v>395</v>
      </c>
      <c r="Q123" t="s">
        <v>744</v>
      </c>
      <c r="R123" t="s">
        <v>26</v>
      </c>
      <c r="S123" t="str">
        <f>_xlfn.XLOOKUP(R123,Sheet8!C:C,Sheet8!A:A,"")</f>
        <v>09f6626a-fa13-4fea-a785-01671ff4e85e</v>
      </c>
      <c r="T123" t="s">
        <v>385</v>
      </c>
      <c r="U123" t="s">
        <v>781</v>
      </c>
      <c r="V123">
        <v>1</v>
      </c>
      <c r="W123">
        <v>1</v>
      </c>
      <c r="X123">
        <v>1</v>
      </c>
      <c r="Y123" s="1">
        <v>42736</v>
      </c>
    </row>
    <row r="124" spans="2:25" x14ac:dyDescent="0.25">
      <c r="B124" t="s">
        <v>396</v>
      </c>
      <c r="C124" t="s">
        <v>397</v>
      </c>
      <c r="D124" t="s">
        <v>388</v>
      </c>
      <c r="E124" t="s">
        <v>559</v>
      </c>
      <c r="F124" t="s">
        <v>557</v>
      </c>
      <c r="G124" t="s">
        <v>58</v>
      </c>
      <c r="H124" t="s">
        <v>606</v>
      </c>
      <c r="I124" t="s">
        <v>59</v>
      </c>
      <c r="J124" t="s">
        <v>674</v>
      </c>
      <c r="K124" t="s">
        <v>22</v>
      </c>
      <c r="L124" t="s">
        <v>60</v>
      </c>
      <c r="M124" t="str">
        <f>_xlfn.XLOOKUP(L124,Sheet11!C:C,Sheet11!A:A,"")</f>
        <v>f02b722d-ca57-42af-a033-74cb162c708e</v>
      </c>
      <c r="N124" t="s">
        <v>24</v>
      </c>
      <c r="O124" t="s">
        <v>716</v>
      </c>
      <c r="P124" t="s">
        <v>395</v>
      </c>
      <c r="Q124" t="s">
        <v>744</v>
      </c>
      <c r="R124" t="s">
        <v>26</v>
      </c>
      <c r="S124" t="str">
        <f>_xlfn.XLOOKUP(R124,Sheet8!C:C,Sheet8!A:A,"")</f>
        <v>09f6626a-fa13-4fea-a785-01671ff4e85e</v>
      </c>
      <c r="T124" t="s">
        <v>385</v>
      </c>
      <c r="U124" t="s">
        <v>781</v>
      </c>
      <c r="V124">
        <v>1</v>
      </c>
      <c r="W124">
        <v>1</v>
      </c>
      <c r="X124">
        <v>1</v>
      </c>
      <c r="Y124" s="1">
        <v>44641</v>
      </c>
    </row>
    <row r="125" spans="2:25" x14ac:dyDescent="0.25">
      <c r="B125" t="s">
        <v>396</v>
      </c>
      <c r="C125" t="s">
        <v>397</v>
      </c>
      <c r="D125" t="s">
        <v>391</v>
      </c>
      <c r="E125" t="s">
        <v>559</v>
      </c>
      <c r="F125" t="s">
        <v>557</v>
      </c>
      <c r="G125" t="s">
        <v>58</v>
      </c>
      <c r="H125" t="s">
        <v>606</v>
      </c>
      <c r="I125" t="s">
        <v>59</v>
      </c>
      <c r="J125" t="s">
        <v>674</v>
      </c>
      <c r="K125" t="s">
        <v>22</v>
      </c>
      <c r="L125" t="s">
        <v>60</v>
      </c>
      <c r="M125" t="str">
        <f>_xlfn.XLOOKUP(L125,Sheet11!C:C,Sheet11!A:A,"")</f>
        <v>f02b722d-ca57-42af-a033-74cb162c708e</v>
      </c>
      <c r="N125" t="s">
        <v>24</v>
      </c>
      <c r="O125" t="s">
        <v>716</v>
      </c>
      <c r="P125" t="s">
        <v>395</v>
      </c>
      <c r="Q125" t="s">
        <v>744</v>
      </c>
      <c r="R125" t="s">
        <v>26</v>
      </c>
      <c r="S125" t="str">
        <f>_xlfn.XLOOKUP(R125,Sheet8!C:C,Sheet8!A:A,"")</f>
        <v>09f6626a-fa13-4fea-a785-01671ff4e85e</v>
      </c>
      <c r="T125" t="s">
        <v>385</v>
      </c>
      <c r="U125" t="s">
        <v>781</v>
      </c>
      <c r="V125">
        <v>1</v>
      </c>
      <c r="W125">
        <v>1</v>
      </c>
      <c r="X125">
        <v>0</v>
      </c>
      <c r="Y125" s="1">
        <v>45312</v>
      </c>
    </row>
    <row r="126" spans="2:25" x14ac:dyDescent="0.25">
      <c r="B126" t="s">
        <v>400</v>
      </c>
      <c r="C126" t="s">
        <v>401</v>
      </c>
      <c r="D126" t="s">
        <v>393</v>
      </c>
      <c r="E126" t="s">
        <v>403</v>
      </c>
      <c r="F126" t="s">
        <v>565</v>
      </c>
      <c r="G126" t="s">
        <v>142</v>
      </c>
      <c r="H126" t="s">
        <v>601</v>
      </c>
      <c r="I126" t="s">
        <v>143</v>
      </c>
      <c r="J126" t="s">
        <v>665</v>
      </c>
      <c r="K126" t="s">
        <v>22</v>
      </c>
      <c r="L126" t="s">
        <v>360</v>
      </c>
      <c r="M126" t="str">
        <f>_xlfn.XLOOKUP(L126,Sheet11!C:C,Sheet11!A:A,"")</f>
        <v>d99c93d3-1c14-4c24-863b-235d00eaee56</v>
      </c>
      <c r="N126" t="s">
        <v>24</v>
      </c>
      <c r="O126" t="s">
        <v>716</v>
      </c>
      <c r="P126" t="s">
        <v>395</v>
      </c>
      <c r="Q126" t="s">
        <v>744</v>
      </c>
      <c r="R126" t="s">
        <v>26</v>
      </c>
      <c r="S126" t="str">
        <f>_xlfn.XLOOKUP(R126,Sheet8!C:C,Sheet8!A:A,"")</f>
        <v>09f6626a-fa13-4fea-a785-01671ff4e85e</v>
      </c>
      <c r="T126" t="s">
        <v>385</v>
      </c>
      <c r="U126" t="s">
        <v>781</v>
      </c>
      <c r="V126">
        <v>1</v>
      </c>
      <c r="W126">
        <v>1</v>
      </c>
      <c r="X126">
        <v>1</v>
      </c>
      <c r="Y126" s="1">
        <v>44564</v>
      </c>
    </row>
    <row r="127" spans="2:25" x14ac:dyDescent="0.25">
      <c r="B127" t="s">
        <v>404</v>
      </c>
      <c r="C127" t="s">
        <v>405</v>
      </c>
      <c r="D127" t="s">
        <v>398</v>
      </c>
      <c r="E127" t="s">
        <v>403</v>
      </c>
      <c r="F127" t="s">
        <v>565</v>
      </c>
      <c r="G127" t="s">
        <v>142</v>
      </c>
      <c r="H127" t="s">
        <v>601</v>
      </c>
      <c r="I127" t="s">
        <v>407</v>
      </c>
      <c r="J127" t="s">
        <v>680</v>
      </c>
      <c r="K127" t="s">
        <v>22</v>
      </c>
      <c r="L127" t="s">
        <v>226</v>
      </c>
      <c r="M127" t="str">
        <f>_xlfn.XLOOKUP(L127,Sheet11!C:C,Sheet11!A:A,"")</f>
        <v/>
      </c>
      <c r="N127" t="s">
        <v>24</v>
      </c>
      <c r="O127" t="s">
        <v>716</v>
      </c>
      <c r="P127" t="s">
        <v>395</v>
      </c>
      <c r="Q127" t="s">
        <v>744</v>
      </c>
      <c r="R127" t="s">
        <v>26</v>
      </c>
      <c r="S127" t="str">
        <f>_xlfn.XLOOKUP(R127,Sheet8!C:C,Sheet8!A:A,"")</f>
        <v>09f6626a-fa13-4fea-a785-01671ff4e85e</v>
      </c>
      <c r="T127" t="s">
        <v>385</v>
      </c>
      <c r="U127" t="s">
        <v>781</v>
      </c>
      <c r="V127">
        <v>1</v>
      </c>
      <c r="W127">
        <v>1</v>
      </c>
      <c r="X127">
        <v>1</v>
      </c>
      <c r="Y127" s="1">
        <v>42736</v>
      </c>
    </row>
    <row r="128" spans="2:25" x14ac:dyDescent="0.25">
      <c r="B128" t="s">
        <v>408</v>
      </c>
      <c r="C128" t="s">
        <v>248</v>
      </c>
      <c r="D128" t="s">
        <v>399</v>
      </c>
      <c r="E128" t="s">
        <v>394</v>
      </c>
      <c r="F128" t="s">
        <v>469</v>
      </c>
      <c r="G128" t="s">
        <v>49</v>
      </c>
      <c r="H128" t="s">
        <v>592</v>
      </c>
      <c r="I128" t="s">
        <v>49</v>
      </c>
      <c r="J128" t="s">
        <v>637</v>
      </c>
      <c r="K128" t="s">
        <v>22</v>
      </c>
      <c r="L128" t="s">
        <v>51</v>
      </c>
      <c r="M128" t="str">
        <f>_xlfn.XLOOKUP(L128,Sheet11!C:C,Sheet11!A:A,"")</f>
        <v>942745ac-02ff-4409-822b-677a97cf117a</v>
      </c>
      <c r="N128" t="s">
        <v>24</v>
      </c>
      <c r="O128" t="s">
        <v>716</v>
      </c>
      <c r="P128" t="s">
        <v>207</v>
      </c>
      <c r="Q128" t="s">
        <v>747</v>
      </c>
      <c r="R128" t="s">
        <v>26</v>
      </c>
      <c r="S128" t="str">
        <f>_xlfn.XLOOKUP(R128,Sheet8!C:C,Sheet8!A:A,"")</f>
        <v>09f6626a-fa13-4fea-a785-01671ff4e85e</v>
      </c>
      <c r="T128" t="s">
        <v>385</v>
      </c>
      <c r="U128" t="s">
        <v>781</v>
      </c>
      <c r="V128">
        <v>1</v>
      </c>
      <c r="W128">
        <v>1</v>
      </c>
      <c r="X128">
        <v>0</v>
      </c>
      <c r="Y128" s="1">
        <v>42736</v>
      </c>
    </row>
    <row r="129" spans="2:25" x14ac:dyDescent="0.25">
      <c r="B129" t="s">
        <v>410</v>
      </c>
      <c r="C129" t="s">
        <v>149</v>
      </c>
      <c r="D129" t="s">
        <v>402</v>
      </c>
      <c r="E129" t="s">
        <v>563</v>
      </c>
      <c r="F129" t="s">
        <v>561</v>
      </c>
      <c r="G129" t="s">
        <v>142</v>
      </c>
      <c r="H129" t="s">
        <v>601</v>
      </c>
      <c r="I129" t="s">
        <v>148</v>
      </c>
      <c r="J129" t="s">
        <v>677</v>
      </c>
      <c r="K129" t="s">
        <v>22</v>
      </c>
      <c r="L129" t="s">
        <v>360</v>
      </c>
      <c r="M129" t="str">
        <f>_xlfn.XLOOKUP(L129,Sheet11!C:C,Sheet11!A:A,"")</f>
        <v>d99c93d3-1c14-4c24-863b-235d00eaee56</v>
      </c>
      <c r="N129" t="s">
        <v>24</v>
      </c>
      <c r="O129" t="s">
        <v>716</v>
      </c>
      <c r="P129" t="s">
        <v>207</v>
      </c>
      <c r="Q129" t="s">
        <v>747</v>
      </c>
      <c r="R129" t="s">
        <v>26</v>
      </c>
      <c r="S129" t="str">
        <f>_xlfn.XLOOKUP(R129,Sheet8!C:C,Sheet8!A:A,"")</f>
        <v>09f6626a-fa13-4fea-a785-01671ff4e85e</v>
      </c>
      <c r="T129" t="s">
        <v>385</v>
      </c>
      <c r="U129" t="s">
        <v>781</v>
      </c>
      <c r="V129">
        <v>1</v>
      </c>
      <c r="W129">
        <v>1</v>
      </c>
      <c r="X129">
        <v>1</v>
      </c>
      <c r="Y129" s="1">
        <v>42736</v>
      </c>
    </row>
    <row r="130" spans="2:25" x14ac:dyDescent="0.25">
      <c r="B130" t="s">
        <v>412</v>
      </c>
      <c r="C130" t="s">
        <v>413</v>
      </c>
      <c r="D130" t="s">
        <v>406</v>
      </c>
      <c r="E130" t="s">
        <v>559</v>
      </c>
      <c r="F130" t="s">
        <v>557</v>
      </c>
      <c r="G130" t="s">
        <v>58</v>
      </c>
      <c r="H130" t="s">
        <v>606</v>
      </c>
      <c r="I130" t="s">
        <v>59</v>
      </c>
      <c r="J130" t="s">
        <v>674</v>
      </c>
      <c r="K130" t="s">
        <v>22</v>
      </c>
      <c r="L130" t="s">
        <v>60</v>
      </c>
      <c r="M130" t="str">
        <f>_xlfn.XLOOKUP(L130,Sheet11!C:C,Sheet11!A:A,"")</f>
        <v>f02b722d-ca57-42af-a033-74cb162c708e</v>
      </c>
      <c r="N130" t="s">
        <v>44</v>
      </c>
      <c r="O130" t="s">
        <v>719</v>
      </c>
      <c r="P130" t="s">
        <v>40</v>
      </c>
      <c r="Q130" t="s">
        <v>750</v>
      </c>
      <c r="R130" t="s">
        <v>26</v>
      </c>
      <c r="S130" t="str">
        <f>_xlfn.XLOOKUP(R130,Sheet8!C:C,Sheet8!A:A,"")</f>
        <v>09f6626a-fa13-4fea-a785-01671ff4e85e</v>
      </c>
      <c r="T130" t="s">
        <v>385</v>
      </c>
      <c r="U130" t="s">
        <v>781</v>
      </c>
      <c r="V130">
        <v>1</v>
      </c>
      <c r="W130">
        <v>1</v>
      </c>
      <c r="X130">
        <v>0</v>
      </c>
      <c r="Y130" s="1">
        <v>44595</v>
      </c>
    </row>
    <row r="131" spans="2:25" x14ac:dyDescent="0.25">
      <c r="B131" t="s">
        <v>415</v>
      </c>
      <c r="C131" t="s">
        <v>226</v>
      </c>
      <c r="D131" t="s">
        <v>409</v>
      </c>
      <c r="E131" t="s">
        <v>48</v>
      </c>
      <c r="F131" t="s">
        <v>466</v>
      </c>
      <c r="G131" t="s">
        <v>142</v>
      </c>
      <c r="H131" t="s">
        <v>601</v>
      </c>
      <c r="I131" t="s">
        <v>271</v>
      </c>
      <c r="J131" t="s">
        <v>671</v>
      </c>
      <c r="K131" t="s">
        <v>22</v>
      </c>
      <c r="L131" t="s">
        <v>360</v>
      </c>
      <c r="M131" t="str">
        <f>_xlfn.XLOOKUP(L131,Sheet11!C:C,Sheet11!A:A,"")</f>
        <v>d99c93d3-1c14-4c24-863b-235d00eaee56</v>
      </c>
      <c r="N131" t="s">
        <v>44</v>
      </c>
      <c r="O131" t="s">
        <v>719</v>
      </c>
      <c r="P131" t="s">
        <v>40</v>
      </c>
      <c r="Q131" t="s">
        <v>750</v>
      </c>
      <c r="R131" t="s">
        <v>26</v>
      </c>
      <c r="S131" t="str">
        <f>_xlfn.XLOOKUP(R131,Sheet8!C:C,Sheet8!A:A,"")</f>
        <v>09f6626a-fa13-4fea-a785-01671ff4e85e</v>
      </c>
      <c r="T131" t="s">
        <v>385</v>
      </c>
      <c r="U131" t="s">
        <v>781</v>
      </c>
      <c r="V131">
        <v>1</v>
      </c>
      <c r="W131">
        <v>1</v>
      </c>
      <c r="X131">
        <v>0</v>
      </c>
      <c r="Y131" s="1">
        <v>44641</v>
      </c>
    </row>
    <row r="132" spans="2:25" x14ac:dyDescent="0.25">
      <c r="B132" t="s">
        <v>417</v>
      </c>
      <c r="C132" t="s">
        <v>418</v>
      </c>
      <c r="D132" t="s">
        <v>411</v>
      </c>
      <c r="E132" t="s">
        <v>48</v>
      </c>
      <c r="F132" t="s">
        <v>466</v>
      </c>
      <c r="G132" t="s">
        <v>142</v>
      </c>
      <c r="H132" t="s">
        <v>601</v>
      </c>
      <c r="I132" t="s">
        <v>271</v>
      </c>
      <c r="J132" t="s">
        <v>671</v>
      </c>
      <c r="K132" t="s">
        <v>22</v>
      </c>
      <c r="L132" t="s">
        <v>360</v>
      </c>
      <c r="M132" t="str">
        <f>_xlfn.XLOOKUP(L132,Sheet11!C:C,Sheet11!A:A,"")</f>
        <v>d99c93d3-1c14-4c24-863b-235d00eaee56</v>
      </c>
      <c r="N132" t="s">
        <v>44</v>
      </c>
      <c r="O132" t="s">
        <v>719</v>
      </c>
      <c r="P132" t="s">
        <v>40</v>
      </c>
      <c r="Q132" t="s">
        <v>750</v>
      </c>
      <c r="R132" t="s">
        <v>26</v>
      </c>
      <c r="S132" t="str">
        <f>_xlfn.XLOOKUP(R132,Sheet8!C:C,Sheet8!A:A,"")</f>
        <v>09f6626a-fa13-4fea-a785-01671ff4e85e</v>
      </c>
      <c r="T132" t="s">
        <v>385</v>
      </c>
      <c r="U132" t="s">
        <v>781</v>
      </c>
      <c r="V132">
        <v>1</v>
      </c>
      <c r="W132">
        <v>1</v>
      </c>
      <c r="X132">
        <v>0</v>
      </c>
      <c r="Y132" s="1">
        <v>44641</v>
      </c>
    </row>
    <row r="133" spans="2:25" x14ac:dyDescent="0.25">
      <c r="B133" t="s">
        <v>420</v>
      </c>
      <c r="C133" t="s">
        <v>421</v>
      </c>
      <c r="D133" t="s">
        <v>414</v>
      </c>
      <c r="E133" t="s">
        <v>94</v>
      </c>
      <c r="F133" t="s">
        <v>575</v>
      </c>
      <c r="G133" t="s">
        <v>49</v>
      </c>
      <c r="H133" t="s">
        <v>592</v>
      </c>
      <c r="I133" t="s">
        <v>108</v>
      </c>
      <c r="J133" t="s">
        <v>647</v>
      </c>
      <c r="K133" t="s">
        <v>96</v>
      </c>
      <c r="L133" t="s">
        <v>109</v>
      </c>
      <c r="M133" t="str">
        <f>_xlfn.XLOOKUP(L133,Sheet11!C:C,Sheet11!A:A,"")</f>
        <v>ca3690fe-7ace-4fb4-9f5f-d58031b8987d</v>
      </c>
      <c r="N133" t="s">
        <v>98</v>
      </c>
      <c r="O133" t="s">
        <v>710</v>
      </c>
      <c r="P133" t="s">
        <v>99</v>
      </c>
      <c r="Q133" t="s">
        <v>731</v>
      </c>
      <c r="R133" t="s">
        <v>232</v>
      </c>
      <c r="S133" t="str">
        <f>_xlfn.XLOOKUP(R133,Sheet8!C:C,Sheet8!A:A,"")</f>
        <v>1a28660d-6784-405c-92cc-d65248bfbfd4</v>
      </c>
      <c r="T133" t="s">
        <v>423</v>
      </c>
      <c r="U133" t="s">
        <v>784</v>
      </c>
      <c r="V133">
        <v>1</v>
      </c>
      <c r="W133">
        <v>1</v>
      </c>
      <c r="X133">
        <v>1</v>
      </c>
      <c r="Y133" s="1">
        <v>45757</v>
      </c>
    </row>
    <row r="134" spans="2:25" x14ac:dyDescent="0.25">
      <c r="B134" t="s">
        <v>420</v>
      </c>
      <c r="C134" t="s">
        <v>421</v>
      </c>
      <c r="D134" t="s">
        <v>416</v>
      </c>
      <c r="E134" t="s">
        <v>94</v>
      </c>
      <c r="F134" t="s">
        <v>575</v>
      </c>
      <c r="G134" t="s">
        <v>49</v>
      </c>
      <c r="H134" t="s">
        <v>592</v>
      </c>
      <c r="I134" t="s">
        <v>108</v>
      </c>
      <c r="J134" t="s">
        <v>647</v>
      </c>
      <c r="K134" t="s">
        <v>96</v>
      </c>
      <c r="L134" t="s">
        <v>109</v>
      </c>
      <c r="M134" t="str">
        <f>_xlfn.XLOOKUP(L134,Sheet11!C:C,Sheet11!A:A,"")</f>
        <v>ca3690fe-7ace-4fb4-9f5f-d58031b8987d</v>
      </c>
      <c r="N134" t="s">
        <v>98</v>
      </c>
      <c r="O134" t="s">
        <v>710</v>
      </c>
      <c r="P134" t="s">
        <v>99</v>
      </c>
      <c r="Q134" t="s">
        <v>731</v>
      </c>
      <c r="R134" t="s">
        <v>232</v>
      </c>
      <c r="S134" t="str">
        <f>_xlfn.XLOOKUP(R134,Sheet8!C:C,Sheet8!A:A,"")</f>
        <v>1a28660d-6784-405c-92cc-d65248bfbfd4</v>
      </c>
      <c r="T134" t="s">
        <v>423</v>
      </c>
      <c r="U134" t="s">
        <v>784</v>
      </c>
      <c r="V134">
        <v>1</v>
      </c>
      <c r="W134">
        <v>1</v>
      </c>
      <c r="X134">
        <v>1</v>
      </c>
      <c r="Y134" s="1">
        <v>45757</v>
      </c>
    </row>
    <row r="135" spans="2:25" x14ac:dyDescent="0.25">
      <c r="B135" t="s">
        <v>425</v>
      </c>
      <c r="C135" t="s">
        <v>426</v>
      </c>
      <c r="D135" t="s">
        <v>419</v>
      </c>
      <c r="E135" t="s">
        <v>428</v>
      </c>
      <c r="F135" t="s">
        <v>500</v>
      </c>
      <c r="G135" t="s">
        <v>49</v>
      </c>
      <c r="H135" t="s">
        <v>592</v>
      </c>
      <c r="I135" t="s">
        <v>108</v>
      </c>
      <c r="J135" t="s">
        <v>647</v>
      </c>
      <c r="K135" t="s">
        <v>22</v>
      </c>
      <c r="L135" t="s">
        <v>429</v>
      </c>
      <c r="M135" t="str">
        <f>_xlfn.XLOOKUP(L135,Sheet11!C:C,Sheet11!A:A,"")</f>
        <v>c8fc6bb2-2ebf-4e03-869e-f07817e2c22f</v>
      </c>
      <c r="N135" t="s">
        <v>154</v>
      </c>
      <c r="O135" t="s">
        <v>713</v>
      </c>
      <c r="P135" t="s">
        <v>155</v>
      </c>
      <c r="Q135" t="s">
        <v>734</v>
      </c>
      <c r="R135" t="s">
        <v>232</v>
      </c>
      <c r="S135" t="str">
        <f>_xlfn.XLOOKUP(R135,Sheet8!C:C,Sheet8!A:A,"")</f>
        <v>1a28660d-6784-405c-92cc-d65248bfbfd4</v>
      </c>
      <c r="T135" t="s">
        <v>423</v>
      </c>
      <c r="U135" t="s">
        <v>784</v>
      </c>
      <c r="V135">
        <v>1</v>
      </c>
      <c r="W135">
        <v>1</v>
      </c>
      <c r="X135">
        <v>1</v>
      </c>
      <c r="Y135" s="1">
        <v>44490</v>
      </c>
    </row>
    <row r="136" spans="2:25" x14ac:dyDescent="0.25">
      <c r="B136" t="s">
        <v>430</v>
      </c>
      <c r="C136" t="s">
        <v>431</v>
      </c>
      <c r="D136" t="s">
        <v>422</v>
      </c>
      <c r="E136" t="s">
        <v>428</v>
      </c>
      <c r="F136" t="s">
        <v>500</v>
      </c>
      <c r="G136" t="s">
        <v>49</v>
      </c>
      <c r="H136" t="s">
        <v>592</v>
      </c>
      <c r="I136" t="s">
        <v>108</v>
      </c>
      <c r="J136" t="s">
        <v>647</v>
      </c>
      <c r="K136" t="s">
        <v>22</v>
      </c>
      <c r="L136" t="s">
        <v>433</v>
      </c>
      <c r="M136" t="str">
        <f>_xlfn.XLOOKUP(L136,Sheet11!C:C,Sheet11!A:A,"")</f>
        <v>725b34f8-7c2d-4eac-b80d-f42d2187f70e</v>
      </c>
      <c r="N136" t="s">
        <v>154</v>
      </c>
      <c r="O136" t="s">
        <v>713</v>
      </c>
      <c r="P136" t="s">
        <v>155</v>
      </c>
      <c r="Q136" t="s">
        <v>734</v>
      </c>
      <c r="R136" t="s">
        <v>232</v>
      </c>
      <c r="S136" t="str">
        <f>_xlfn.XLOOKUP(R136,Sheet8!C:C,Sheet8!A:A,"")</f>
        <v>1a28660d-6784-405c-92cc-d65248bfbfd4</v>
      </c>
      <c r="T136" t="s">
        <v>423</v>
      </c>
      <c r="U136" t="s">
        <v>784</v>
      </c>
      <c r="V136">
        <v>1</v>
      </c>
      <c r="W136">
        <v>1</v>
      </c>
      <c r="X136">
        <v>1</v>
      </c>
      <c r="Y136" s="1">
        <v>44490</v>
      </c>
    </row>
    <row r="137" spans="2:25" x14ac:dyDescent="0.25">
      <c r="B137" t="s">
        <v>434</v>
      </c>
      <c r="C137" t="s">
        <v>435</v>
      </c>
      <c r="D137" t="s">
        <v>424</v>
      </c>
      <c r="E137" t="s">
        <v>428</v>
      </c>
      <c r="F137" t="s">
        <v>500</v>
      </c>
      <c r="G137" t="s">
        <v>49</v>
      </c>
      <c r="H137" t="s">
        <v>592</v>
      </c>
      <c r="I137" t="s">
        <v>108</v>
      </c>
      <c r="J137" t="s">
        <v>647</v>
      </c>
      <c r="K137" t="s">
        <v>22</v>
      </c>
      <c r="L137" t="s">
        <v>437</v>
      </c>
      <c r="M137" t="str">
        <f>_xlfn.XLOOKUP(L137,Sheet11!C:C,Sheet11!A:A,"")</f>
        <v>019c6fb9-a744-78ce-a374-980d17cce30b</v>
      </c>
      <c r="N137" t="s">
        <v>154</v>
      </c>
      <c r="O137" t="s">
        <v>713</v>
      </c>
      <c r="P137" t="s">
        <v>155</v>
      </c>
      <c r="Q137" t="s">
        <v>734</v>
      </c>
      <c r="R137" t="s">
        <v>232</v>
      </c>
      <c r="S137" t="str">
        <f>_xlfn.XLOOKUP(R137,Sheet8!C:C,Sheet8!A:A,"")</f>
        <v>1a28660d-6784-405c-92cc-d65248bfbfd4</v>
      </c>
      <c r="T137" t="s">
        <v>423</v>
      </c>
      <c r="U137" t="s">
        <v>784</v>
      </c>
      <c r="V137">
        <v>1</v>
      </c>
      <c r="W137">
        <v>1</v>
      </c>
      <c r="X137">
        <v>1</v>
      </c>
      <c r="Y137" s="1">
        <v>44490</v>
      </c>
    </row>
    <row r="138" spans="2:25" x14ac:dyDescent="0.25">
      <c r="B138" t="s">
        <v>438</v>
      </c>
      <c r="C138" t="s">
        <v>439</v>
      </c>
      <c r="D138" t="s">
        <v>427</v>
      </c>
      <c r="E138" t="s">
        <v>441</v>
      </c>
      <c r="F138" t="s">
        <v>503</v>
      </c>
      <c r="G138" t="s">
        <v>49</v>
      </c>
      <c r="H138" t="s">
        <v>592</v>
      </c>
      <c r="I138" t="s">
        <v>442</v>
      </c>
      <c r="J138" t="s">
        <v>707</v>
      </c>
      <c r="K138" t="s">
        <v>22</v>
      </c>
      <c r="L138" t="s">
        <v>443</v>
      </c>
      <c r="M138" t="str">
        <f>_xlfn.XLOOKUP(L138,Sheet11!C:C,Sheet11!A:A,"")</f>
        <v>7069485a-0875-49d8-9d85-1f672b4f56b4</v>
      </c>
      <c r="N138" t="s">
        <v>154</v>
      </c>
      <c r="O138" t="s">
        <v>713</v>
      </c>
      <c r="P138" t="s">
        <v>155</v>
      </c>
      <c r="Q138" t="s">
        <v>734</v>
      </c>
      <c r="R138" t="s">
        <v>232</v>
      </c>
      <c r="S138" t="str">
        <f>_xlfn.XLOOKUP(R138,Sheet8!C:C,Sheet8!A:A,"")</f>
        <v>1a28660d-6784-405c-92cc-d65248bfbfd4</v>
      </c>
      <c r="T138" t="s">
        <v>423</v>
      </c>
      <c r="U138" t="s">
        <v>784</v>
      </c>
      <c r="V138">
        <v>1</v>
      </c>
      <c r="W138">
        <v>1</v>
      </c>
      <c r="X138">
        <v>1</v>
      </c>
      <c r="Y138" s="1">
        <v>44490</v>
      </c>
    </row>
    <row r="139" spans="2:25" x14ac:dyDescent="0.25">
      <c r="B139" t="s">
        <v>444</v>
      </c>
      <c r="C139" t="s">
        <v>445</v>
      </c>
      <c r="D139" t="s">
        <v>432</v>
      </c>
      <c r="E139" t="s">
        <v>441</v>
      </c>
      <c r="F139" t="s">
        <v>503</v>
      </c>
      <c r="G139" t="s">
        <v>49</v>
      </c>
      <c r="H139" t="s">
        <v>592</v>
      </c>
      <c r="I139" t="s">
        <v>442</v>
      </c>
      <c r="J139" t="s">
        <v>707</v>
      </c>
      <c r="K139" t="s">
        <v>22</v>
      </c>
      <c r="L139" t="s">
        <v>447</v>
      </c>
      <c r="M139" t="str">
        <f>_xlfn.XLOOKUP(L139,Sheet11!C:C,Sheet11!A:A,"")</f>
        <v>086903dc-47a3-4191-9fcb-30cc5e140acf</v>
      </c>
      <c r="N139" t="s">
        <v>154</v>
      </c>
      <c r="O139" t="s">
        <v>713</v>
      </c>
      <c r="P139" t="s">
        <v>155</v>
      </c>
      <c r="Q139" t="s">
        <v>734</v>
      </c>
      <c r="R139" t="s">
        <v>232</v>
      </c>
      <c r="S139" t="str">
        <f>_xlfn.XLOOKUP(R139,Sheet8!C:C,Sheet8!A:A,"")</f>
        <v>1a28660d-6784-405c-92cc-d65248bfbfd4</v>
      </c>
      <c r="T139" t="s">
        <v>423</v>
      </c>
      <c r="U139" t="s">
        <v>784</v>
      </c>
      <c r="V139">
        <v>1</v>
      </c>
      <c r="W139">
        <v>1</v>
      </c>
      <c r="X139">
        <v>1</v>
      </c>
      <c r="Y139" s="1">
        <v>44490</v>
      </c>
    </row>
    <row r="140" spans="2:25" x14ac:dyDescent="0.25">
      <c r="B140" t="s">
        <v>448</v>
      </c>
      <c r="C140" t="s">
        <v>449</v>
      </c>
      <c r="D140" t="s">
        <v>436</v>
      </c>
      <c r="E140" t="s">
        <v>451</v>
      </c>
      <c r="F140" t="s">
        <v>509</v>
      </c>
      <c r="G140" t="s">
        <v>49</v>
      </c>
      <c r="H140" t="s">
        <v>592</v>
      </c>
      <c r="I140" t="s">
        <v>126</v>
      </c>
      <c r="J140" t="s">
        <v>650</v>
      </c>
      <c r="K140" t="s">
        <v>22</v>
      </c>
      <c r="L140" t="s">
        <v>452</v>
      </c>
      <c r="M140" t="str">
        <f>_xlfn.XLOOKUP(L140,Sheet11!C:C,Sheet11!A:A,"")</f>
        <v>e16d0268-2d4f-48ff-8aae-591dc632ae52</v>
      </c>
      <c r="N140" t="s">
        <v>24</v>
      </c>
      <c r="O140" t="s">
        <v>716</v>
      </c>
      <c r="P140" t="s">
        <v>155</v>
      </c>
      <c r="Q140" t="s">
        <v>734</v>
      </c>
      <c r="R140" t="s">
        <v>232</v>
      </c>
      <c r="S140" t="str">
        <f>_xlfn.XLOOKUP(R140,Sheet8!C:C,Sheet8!A:A,"")</f>
        <v>1a28660d-6784-405c-92cc-d65248bfbfd4</v>
      </c>
      <c r="T140" t="s">
        <v>423</v>
      </c>
      <c r="U140" t="s">
        <v>784</v>
      </c>
      <c r="V140">
        <v>1</v>
      </c>
      <c r="W140">
        <v>1</v>
      </c>
      <c r="X140">
        <v>1</v>
      </c>
      <c r="Y140" s="1">
        <v>42736</v>
      </c>
    </row>
    <row r="141" spans="2:25" x14ac:dyDescent="0.25">
      <c r="B141" t="s">
        <v>448</v>
      </c>
      <c r="C141" t="s">
        <v>449</v>
      </c>
      <c r="D141" t="s">
        <v>440</v>
      </c>
      <c r="E141" t="s">
        <v>451</v>
      </c>
      <c r="F141" t="s">
        <v>509</v>
      </c>
      <c r="G141" t="s">
        <v>49</v>
      </c>
      <c r="H141" t="s">
        <v>592</v>
      </c>
      <c r="I141" t="s">
        <v>126</v>
      </c>
      <c r="J141" t="s">
        <v>650</v>
      </c>
      <c r="K141" t="s">
        <v>22</v>
      </c>
      <c r="L141" t="s">
        <v>452</v>
      </c>
      <c r="M141" t="str">
        <f>_xlfn.XLOOKUP(L141,Sheet11!C:C,Sheet11!A:A,"")</f>
        <v>e16d0268-2d4f-48ff-8aae-591dc632ae52</v>
      </c>
      <c r="N141" t="s">
        <v>24</v>
      </c>
      <c r="O141" t="s">
        <v>716</v>
      </c>
      <c r="P141" t="s">
        <v>155</v>
      </c>
      <c r="Q141" t="s">
        <v>734</v>
      </c>
      <c r="R141" t="s">
        <v>232</v>
      </c>
      <c r="S141" t="str">
        <f>_xlfn.XLOOKUP(R141,Sheet8!C:C,Sheet8!A:A,"")</f>
        <v>1a28660d-6784-405c-92cc-d65248bfbfd4</v>
      </c>
      <c r="T141" t="s">
        <v>423</v>
      </c>
      <c r="U141" t="s">
        <v>784</v>
      </c>
      <c r="V141">
        <v>1</v>
      </c>
      <c r="W141">
        <v>1</v>
      </c>
      <c r="X141">
        <v>1</v>
      </c>
      <c r="Y141" s="1">
        <v>42736</v>
      </c>
    </row>
    <row r="142" spans="2:25" x14ac:dyDescent="0.25">
      <c r="B142" t="s">
        <v>453</v>
      </c>
      <c r="C142" t="s">
        <v>454</v>
      </c>
      <c r="D142" t="s">
        <v>446</v>
      </c>
      <c r="E142" t="s">
        <v>19</v>
      </c>
      <c r="F142" t="s">
        <v>515</v>
      </c>
      <c r="G142" t="s">
        <v>20</v>
      </c>
      <c r="H142" t="s">
        <v>588</v>
      </c>
      <c r="I142" t="s">
        <v>95</v>
      </c>
      <c r="J142" t="s">
        <v>697</v>
      </c>
      <c r="K142" t="s">
        <v>22</v>
      </c>
      <c r="L142" t="s">
        <v>390</v>
      </c>
      <c r="M142" t="str">
        <f>_xlfn.XLOOKUP(L142,Sheet11!C:C,Sheet11!A:A,"")</f>
        <v/>
      </c>
      <c r="N142" t="s">
        <v>98</v>
      </c>
      <c r="O142" t="s">
        <v>710</v>
      </c>
      <c r="P142" t="s">
        <v>99</v>
      </c>
      <c r="Q142" t="s">
        <v>731</v>
      </c>
      <c r="R142" t="s">
        <v>26</v>
      </c>
      <c r="S142" t="str">
        <f>_xlfn.XLOOKUP(R142,Sheet8!C:C,Sheet8!A:A,"")</f>
        <v>09f6626a-fa13-4fea-a785-01671ff4e85e</v>
      </c>
      <c r="T142" t="s">
        <v>455</v>
      </c>
      <c r="U142" t="s">
        <v>787</v>
      </c>
      <c r="V142">
        <v>1</v>
      </c>
      <c r="W142">
        <v>1</v>
      </c>
      <c r="X142">
        <v>1</v>
      </c>
      <c r="Y142" s="1">
        <v>42736</v>
      </c>
    </row>
    <row r="143" spans="2:25" x14ac:dyDescent="0.25">
      <c r="B143" t="s">
        <v>456</v>
      </c>
      <c r="C143" t="s">
        <v>457</v>
      </c>
      <c r="D143" t="s">
        <v>450</v>
      </c>
      <c r="E143" t="s">
        <v>458</v>
      </c>
      <c r="F143" t="s">
        <v>522</v>
      </c>
      <c r="G143" t="s">
        <v>37</v>
      </c>
      <c r="H143" t="s">
        <v>613</v>
      </c>
      <c r="I143" t="s">
        <v>37</v>
      </c>
      <c r="J143" t="s">
        <v>656</v>
      </c>
      <c r="K143" t="s">
        <v>22</v>
      </c>
      <c r="L143" t="s">
        <v>131</v>
      </c>
      <c r="M143" t="str">
        <f>_xlfn.XLOOKUP(L143,Sheet11!C:C,Sheet11!A:A,"")</f>
        <v>f14b589b-747b-42cd-988f-07b7432f7d8b</v>
      </c>
      <c r="N143" t="s">
        <v>154</v>
      </c>
      <c r="O143" t="s">
        <v>713</v>
      </c>
      <c r="P143" t="s">
        <v>155</v>
      </c>
      <c r="Q143" t="s">
        <v>734</v>
      </c>
      <c r="R143" t="s">
        <v>26</v>
      </c>
      <c r="S143" t="str">
        <f>_xlfn.XLOOKUP(R143,Sheet8!C:C,Sheet8!A:A,"")</f>
        <v>09f6626a-fa13-4fea-a785-01671ff4e85e</v>
      </c>
      <c r="T143" t="s">
        <v>455</v>
      </c>
      <c r="U143" t="s">
        <v>787</v>
      </c>
      <c r="V143">
        <v>1</v>
      </c>
      <c r="W143">
        <v>1</v>
      </c>
      <c r="X143">
        <v>1</v>
      </c>
      <c r="Y143" s="1">
        <v>42736</v>
      </c>
    </row>
  </sheetData>
  <phoneticPr fontId="1" type="noConversion"/>
  <conditionalFormatting sqref="C1:C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D3E8-4922-47C8-947E-D0603F23F1A0}">
  <dimension ref="A1:H37"/>
  <sheetViews>
    <sheetView topLeftCell="A7" workbookViewId="0">
      <selection activeCell="C33" sqref="C33"/>
    </sheetView>
  </sheetViews>
  <sheetFormatPr defaultRowHeight="15" x14ac:dyDescent="0.25"/>
  <cols>
    <col min="1" max="1" width="38.140625" bestFit="1" customWidth="1"/>
    <col min="3" max="3" width="58.28515625" bestFit="1" customWidth="1"/>
  </cols>
  <sheetData>
    <row r="1" spans="1:8" x14ac:dyDescent="0.25">
      <c r="A1" t="s">
        <v>578</v>
      </c>
      <c r="B1" t="s">
        <v>579</v>
      </c>
      <c r="C1" t="s">
        <v>580</v>
      </c>
    </row>
    <row r="2" spans="1:8" x14ac:dyDescent="0.25">
      <c r="A2" t="s">
        <v>459</v>
      </c>
      <c r="B2" t="s">
        <v>460</v>
      </c>
      <c r="C2" t="s">
        <v>461</v>
      </c>
      <c r="D2" s="1">
        <v>43831</v>
      </c>
      <c r="F2" t="s">
        <v>462</v>
      </c>
      <c r="G2">
        <v>92</v>
      </c>
      <c r="H2" t="s">
        <v>462</v>
      </c>
    </row>
    <row r="3" spans="1:8" x14ac:dyDescent="0.25">
      <c r="A3" t="s">
        <v>463</v>
      </c>
      <c r="B3" t="s">
        <v>464</v>
      </c>
      <c r="C3" t="s">
        <v>356</v>
      </c>
      <c r="D3" s="1">
        <v>43831</v>
      </c>
      <c r="F3" t="s">
        <v>465</v>
      </c>
      <c r="G3">
        <v>92</v>
      </c>
      <c r="H3" t="s">
        <v>465</v>
      </c>
    </row>
    <row r="4" spans="1:8" x14ac:dyDescent="0.25">
      <c r="A4" t="s">
        <v>466</v>
      </c>
      <c r="B4" t="s">
        <v>467</v>
      </c>
      <c r="C4" t="s">
        <v>48</v>
      </c>
      <c r="D4" s="1">
        <v>43831</v>
      </c>
      <c r="F4" t="s">
        <v>468</v>
      </c>
      <c r="G4">
        <v>92</v>
      </c>
      <c r="H4" t="s">
        <v>468</v>
      </c>
    </row>
    <row r="5" spans="1:8" x14ac:dyDescent="0.25">
      <c r="A5" t="s">
        <v>469</v>
      </c>
      <c r="B5" t="s">
        <v>470</v>
      </c>
      <c r="C5" t="s">
        <v>394</v>
      </c>
      <c r="D5" s="1">
        <v>43831</v>
      </c>
      <c r="F5" t="s">
        <v>471</v>
      </c>
      <c r="G5">
        <v>92</v>
      </c>
      <c r="H5" t="s">
        <v>471</v>
      </c>
    </row>
    <row r="6" spans="1:8" x14ac:dyDescent="0.25">
      <c r="A6" t="s">
        <v>472</v>
      </c>
      <c r="B6" t="s">
        <v>473</v>
      </c>
      <c r="C6" t="s">
        <v>153</v>
      </c>
      <c r="D6" s="1">
        <v>43831</v>
      </c>
      <c r="F6" t="s">
        <v>474</v>
      </c>
      <c r="G6">
        <v>92</v>
      </c>
      <c r="H6" t="s">
        <v>474</v>
      </c>
    </row>
    <row r="7" spans="1:8" x14ac:dyDescent="0.25">
      <c r="A7" t="s">
        <v>475</v>
      </c>
      <c r="B7" t="s">
        <v>476</v>
      </c>
      <c r="C7" t="s">
        <v>477</v>
      </c>
      <c r="D7" s="1">
        <v>43831</v>
      </c>
      <c r="F7" t="s">
        <v>478</v>
      </c>
      <c r="G7">
        <v>92</v>
      </c>
      <c r="H7" t="s">
        <v>478</v>
      </c>
    </row>
    <row r="8" spans="1:8" x14ac:dyDescent="0.25">
      <c r="A8" t="s">
        <v>479</v>
      </c>
      <c r="B8" t="s">
        <v>480</v>
      </c>
      <c r="C8" t="s">
        <v>284</v>
      </c>
      <c r="D8" s="1">
        <v>43831</v>
      </c>
      <c r="F8" t="s">
        <v>481</v>
      </c>
      <c r="G8">
        <v>92</v>
      </c>
      <c r="H8" t="s">
        <v>481</v>
      </c>
    </row>
    <row r="9" spans="1:8" x14ac:dyDescent="0.25">
      <c r="A9" t="s">
        <v>482</v>
      </c>
      <c r="B9" t="s">
        <v>483</v>
      </c>
      <c r="C9" t="s">
        <v>484</v>
      </c>
      <c r="D9" s="1">
        <v>43831</v>
      </c>
      <c r="F9" t="s">
        <v>485</v>
      </c>
      <c r="G9">
        <v>92</v>
      </c>
      <c r="H9" t="s">
        <v>485</v>
      </c>
    </row>
    <row r="10" spans="1:8" x14ac:dyDescent="0.25">
      <c r="A10" t="s">
        <v>486</v>
      </c>
      <c r="B10" t="s">
        <v>487</v>
      </c>
      <c r="C10" t="s">
        <v>312</v>
      </c>
      <c r="D10" s="1">
        <v>43831</v>
      </c>
      <c r="F10" t="s">
        <v>488</v>
      </c>
      <c r="G10">
        <v>92</v>
      </c>
      <c r="H10" t="s">
        <v>488</v>
      </c>
    </row>
    <row r="11" spans="1:8" x14ac:dyDescent="0.25">
      <c r="A11" t="s">
        <v>489</v>
      </c>
      <c r="B11" t="s">
        <v>490</v>
      </c>
      <c r="C11" t="s">
        <v>491</v>
      </c>
      <c r="D11" s="1">
        <v>43831</v>
      </c>
      <c r="F11" t="s">
        <v>492</v>
      </c>
      <c r="G11">
        <v>92</v>
      </c>
      <c r="H11" t="s">
        <v>492</v>
      </c>
    </row>
    <row r="12" spans="1:8" x14ac:dyDescent="0.25">
      <c r="A12" s="2" t="s">
        <v>493</v>
      </c>
      <c r="B12" t="s">
        <v>494</v>
      </c>
      <c r="C12" t="s">
        <v>495</v>
      </c>
      <c r="D12" s="1">
        <v>43831</v>
      </c>
      <c r="F12" t="s">
        <v>496</v>
      </c>
      <c r="G12">
        <v>92</v>
      </c>
      <c r="H12" t="s">
        <v>496</v>
      </c>
    </row>
    <row r="13" spans="1:8" x14ac:dyDescent="0.25">
      <c r="A13" t="s">
        <v>497</v>
      </c>
      <c r="B13" t="s">
        <v>498</v>
      </c>
      <c r="C13" t="s">
        <v>206</v>
      </c>
      <c r="D13" s="1">
        <v>43831</v>
      </c>
      <c r="F13" t="s">
        <v>499</v>
      </c>
      <c r="G13">
        <v>92</v>
      </c>
      <c r="H13" t="s">
        <v>499</v>
      </c>
    </row>
    <row r="14" spans="1:8" x14ac:dyDescent="0.25">
      <c r="A14" t="s">
        <v>500</v>
      </c>
      <c r="B14" t="s">
        <v>501</v>
      </c>
      <c r="C14" t="s">
        <v>428</v>
      </c>
      <c r="D14" s="1">
        <v>43831</v>
      </c>
      <c r="F14" t="s">
        <v>502</v>
      </c>
      <c r="G14">
        <v>92</v>
      </c>
      <c r="H14" t="s">
        <v>502</v>
      </c>
    </row>
    <row r="15" spans="1:8" x14ac:dyDescent="0.25">
      <c r="A15" t="s">
        <v>503</v>
      </c>
      <c r="B15" t="s">
        <v>504</v>
      </c>
      <c r="C15" t="s">
        <v>441</v>
      </c>
      <c r="D15" s="1">
        <v>43831</v>
      </c>
      <c r="F15" t="s">
        <v>505</v>
      </c>
      <c r="G15">
        <v>92</v>
      </c>
      <c r="H15" t="s">
        <v>505</v>
      </c>
    </row>
    <row r="16" spans="1:8" x14ac:dyDescent="0.25">
      <c r="A16" t="s">
        <v>506</v>
      </c>
      <c r="B16" t="s">
        <v>507</v>
      </c>
      <c r="C16" t="s">
        <v>206</v>
      </c>
      <c r="D16" s="1">
        <v>43831</v>
      </c>
      <c r="F16" t="s">
        <v>508</v>
      </c>
      <c r="G16">
        <v>92</v>
      </c>
      <c r="H16" t="s">
        <v>508</v>
      </c>
    </row>
    <row r="17" spans="1:8" x14ac:dyDescent="0.25">
      <c r="A17" t="s">
        <v>509</v>
      </c>
      <c r="B17" t="s">
        <v>510</v>
      </c>
      <c r="C17" t="s">
        <v>451</v>
      </c>
      <c r="D17" s="1">
        <v>43831</v>
      </c>
      <c r="F17" t="s">
        <v>511</v>
      </c>
      <c r="G17">
        <v>92</v>
      </c>
      <c r="H17" t="s">
        <v>511</v>
      </c>
    </row>
    <row r="18" spans="1:8" x14ac:dyDescent="0.25">
      <c r="A18" t="s">
        <v>512</v>
      </c>
      <c r="B18" t="s">
        <v>513</v>
      </c>
      <c r="C18" t="s">
        <v>321</v>
      </c>
      <c r="D18" s="1">
        <v>43831</v>
      </c>
      <c r="F18" t="s">
        <v>514</v>
      </c>
      <c r="G18">
        <v>92</v>
      </c>
      <c r="H18" t="s">
        <v>514</v>
      </c>
    </row>
    <row r="19" spans="1:8" x14ac:dyDescent="0.25">
      <c r="A19" t="s">
        <v>515</v>
      </c>
      <c r="B19" t="s">
        <v>516</v>
      </c>
      <c r="C19" t="s">
        <v>19</v>
      </c>
      <c r="D19" s="1">
        <v>43831</v>
      </c>
      <c r="F19" t="s">
        <v>517</v>
      </c>
      <c r="G19">
        <v>92</v>
      </c>
      <c r="H19" t="s">
        <v>517</v>
      </c>
    </row>
    <row r="20" spans="1:8" x14ac:dyDescent="0.25">
      <c r="A20" t="s">
        <v>518</v>
      </c>
      <c r="B20" t="s">
        <v>519</v>
      </c>
      <c r="C20" t="s">
        <v>520</v>
      </c>
      <c r="D20" s="1">
        <v>43831</v>
      </c>
      <c r="F20" t="s">
        <v>521</v>
      </c>
      <c r="G20">
        <v>92</v>
      </c>
      <c r="H20" t="s">
        <v>521</v>
      </c>
    </row>
    <row r="21" spans="1:8" x14ac:dyDescent="0.25">
      <c r="A21" t="s">
        <v>522</v>
      </c>
      <c r="B21" t="s">
        <v>523</v>
      </c>
      <c r="C21" t="s">
        <v>458</v>
      </c>
      <c r="D21" s="1">
        <v>43831</v>
      </c>
      <c r="F21" t="s">
        <v>524</v>
      </c>
      <c r="G21">
        <v>92</v>
      </c>
      <c r="H21" t="s">
        <v>524</v>
      </c>
    </row>
    <row r="22" spans="1:8" x14ac:dyDescent="0.25">
      <c r="A22" t="s">
        <v>525</v>
      </c>
      <c r="B22" t="s">
        <v>526</v>
      </c>
      <c r="C22" t="s">
        <v>527</v>
      </c>
      <c r="D22" s="1">
        <v>43831</v>
      </c>
      <c r="F22" t="s">
        <v>528</v>
      </c>
      <c r="G22">
        <v>92</v>
      </c>
      <c r="H22" t="s">
        <v>528</v>
      </c>
    </row>
    <row r="23" spans="1:8" x14ac:dyDescent="0.25">
      <c r="A23" t="s">
        <v>529</v>
      </c>
      <c r="B23" t="s">
        <v>530</v>
      </c>
      <c r="C23" t="s">
        <v>192</v>
      </c>
      <c r="D23" s="1">
        <v>43831</v>
      </c>
      <c r="F23" t="s">
        <v>531</v>
      </c>
      <c r="G23">
        <v>92</v>
      </c>
      <c r="H23" t="s">
        <v>531</v>
      </c>
    </row>
    <row r="24" spans="1:8" x14ac:dyDescent="0.25">
      <c r="A24" t="s">
        <v>532</v>
      </c>
      <c r="B24" t="s">
        <v>533</v>
      </c>
      <c r="C24" t="s">
        <v>211</v>
      </c>
      <c r="D24" s="1">
        <v>43831</v>
      </c>
      <c r="F24" t="s">
        <v>534</v>
      </c>
      <c r="G24">
        <v>92</v>
      </c>
      <c r="H24" t="s">
        <v>534</v>
      </c>
    </row>
    <row r="25" spans="1:8" x14ac:dyDescent="0.25">
      <c r="A25" s="2" t="s">
        <v>535</v>
      </c>
      <c r="B25" t="s">
        <v>536</v>
      </c>
      <c r="C25" t="s">
        <v>78</v>
      </c>
      <c r="D25" s="1">
        <v>43831</v>
      </c>
      <c r="F25" t="s">
        <v>537</v>
      </c>
      <c r="G25">
        <v>92</v>
      </c>
      <c r="H25" t="s">
        <v>537</v>
      </c>
    </row>
    <row r="26" spans="1:8" x14ac:dyDescent="0.25">
      <c r="A26" t="s">
        <v>538</v>
      </c>
      <c r="B26" t="s">
        <v>539</v>
      </c>
      <c r="C26" t="s">
        <v>79</v>
      </c>
      <c r="D26" s="1">
        <v>43831</v>
      </c>
      <c r="F26" t="s">
        <v>540</v>
      </c>
      <c r="G26">
        <v>92</v>
      </c>
      <c r="H26" t="s">
        <v>540</v>
      </c>
    </row>
    <row r="27" spans="1:8" x14ac:dyDescent="0.25">
      <c r="A27" s="2" t="s">
        <v>541</v>
      </c>
      <c r="B27" t="s">
        <v>542</v>
      </c>
      <c r="C27" t="s">
        <v>543</v>
      </c>
      <c r="D27" s="1">
        <v>43831</v>
      </c>
      <c r="F27" t="s">
        <v>544</v>
      </c>
      <c r="G27">
        <v>92</v>
      </c>
      <c r="H27" t="s">
        <v>544</v>
      </c>
    </row>
    <row r="28" spans="1:8" x14ac:dyDescent="0.25">
      <c r="A28" t="s">
        <v>545</v>
      </c>
      <c r="B28" t="s">
        <v>546</v>
      </c>
      <c r="C28" t="s">
        <v>197</v>
      </c>
      <c r="D28" s="1">
        <v>43831</v>
      </c>
      <c r="F28" t="s">
        <v>547</v>
      </c>
      <c r="G28">
        <v>92</v>
      </c>
      <c r="H28" t="s">
        <v>547</v>
      </c>
    </row>
    <row r="29" spans="1:8" x14ac:dyDescent="0.25">
      <c r="A29" t="s">
        <v>548</v>
      </c>
      <c r="B29" t="s">
        <v>549</v>
      </c>
      <c r="C29" t="s">
        <v>70</v>
      </c>
      <c r="D29" s="1">
        <v>43831</v>
      </c>
      <c r="F29" t="s">
        <v>550</v>
      </c>
      <c r="G29">
        <v>92</v>
      </c>
      <c r="H29" t="s">
        <v>550</v>
      </c>
    </row>
    <row r="30" spans="1:8" x14ac:dyDescent="0.25">
      <c r="A30" t="s">
        <v>551</v>
      </c>
      <c r="B30" t="s">
        <v>552</v>
      </c>
      <c r="C30" t="s">
        <v>31</v>
      </c>
      <c r="D30" s="1">
        <v>43831</v>
      </c>
      <c r="F30" t="s">
        <v>553</v>
      </c>
      <c r="G30">
        <v>92</v>
      </c>
      <c r="H30" t="s">
        <v>553</v>
      </c>
    </row>
    <row r="31" spans="1:8" x14ac:dyDescent="0.25">
      <c r="A31" t="s">
        <v>554</v>
      </c>
      <c r="B31" t="s">
        <v>555</v>
      </c>
      <c r="C31" t="s">
        <v>359</v>
      </c>
      <c r="D31" s="1">
        <v>43831</v>
      </c>
      <c r="F31" t="s">
        <v>556</v>
      </c>
      <c r="G31">
        <v>92</v>
      </c>
      <c r="H31" t="s">
        <v>556</v>
      </c>
    </row>
    <row r="32" spans="1:8" x14ac:dyDescent="0.25">
      <c r="A32" t="s">
        <v>557</v>
      </c>
      <c r="B32" t="s">
        <v>558</v>
      </c>
      <c r="C32" t="s">
        <v>559</v>
      </c>
      <c r="D32" s="1">
        <v>43831</v>
      </c>
      <c r="F32" t="s">
        <v>560</v>
      </c>
      <c r="G32">
        <v>92</v>
      </c>
      <c r="H32" t="s">
        <v>560</v>
      </c>
    </row>
    <row r="33" spans="1:8" x14ac:dyDescent="0.25">
      <c r="A33" t="s">
        <v>561</v>
      </c>
      <c r="B33" t="s">
        <v>562</v>
      </c>
      <c r="C33" t="s">
        <v>563</v>
      </c>
      <c r="D33" s="1">
        <v>43831</v>
      </c>
      <c r="F33" t="s">
        <v>564</v>
      </c>
      <c r="G33">
        <v>92</v>
      </c>
      <c r="H33" t="s">
        <v>564</v>
      </c>
    </row>
    <row r="34" spans="1:8" x14ac:dyDescent="0.25">
      <c r="A34" t="s">
        <v>565</v>
      </c>
      <c r="B34" t="s">
        <v>566</v>
      </c>
      <c r="C34" t="s">
        <v>403</v>
      </c>
      <c r="D34" s="1">
        <v>43831</v>
      </c>
      <c r="F34" t="s">
        <v>567</v>
      </c>
      <c r="G34">
        <v>92</v>
      </c>
      <c r="H34" t="s">
        <v>567</v>
      </c>
    </row>
    <row r="35" spans="1:8" x14ac:dyDescent="0.25">
      <c r="A35" t="s">
        <v>568</v>
      </c>
      <c r="B35" t="s">
        <v>569</v>
      </c>
      <c r="C35" t="s">
        <v>255</v>
      </c>
      <c r="D35" s="1">
        <v>43831</v>
      </c>
      <c r="F35" t="s">
        <v>570</v>
      </c>
      <c r="G35">
        <v>92</v>
      </c>
      <c r="H35" t="s">
        <v>570</v>
      </c>
    </row>
    <row r="36" spans="1:8" x14ac:dyDescent="0.25">
      <c r="A36" t="s">
        <v>571</v>
      </c>
      <c r="B36" t="s">
        <v>572</v>
      </c>
      <c r="C36" t="s">
        <v>573</v>
      </c>
      <c r="D36" s="1">
        <v>43831</v>
      </c>
      <c r="F36" t="s">
        <v>574</v>
      </c>
      <c r="G36">
        <v>92</v>
      </c>
      <c r="H36" t="s">
        <v>574</v>
      </c>
    </row>
    <row r="37" spans="1:8" x14ac:dyDescent="0.25">
      <c r="A37" t="s">
        <v>575</v>
      </c>
      <c r="B37" t="s">
        <v>576</v>
      </c>
      <c r="C37" t="s">
        <v>94</v>
      </c>
      <c r="D37" s="1">
        <v>43831</v>
      </c>
      <c r="F37" t="s">
        <v>577</v>
      </c>
      <c r="G37">
        <v>92</v>
      </c>
      <c r="H37" t="s">
        <v>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AFB1-8547-428A-B7B2-B50FE8091A01}">
  <dimension ref="A1:I11"/>
  <sheetViews>
    <sheetView workbookViewId="0">
      <selection sqref="A1:J11"/>
    </sheetView>
  </sheetViews>
  <sheetFormatPr defaultRowHeight="15" x14ac:dyDescent="0.25"/>
  <sheetData>
    <row r="1" spans="1:9" x14ac:dyDescent="0.25">
      <c r="A1" t="s">
        <v>583</v>
      </c>
      <c r="B1" t="s">
        <v>584</v>
      </c>
      <c r="C1" t="s">
        <v>585</v>
      </c>
      <c r="D1" t="s">
        <v>461</v>
      </c>
      <c r="E1" s="1">
        <v>43831</v>
      </c>
      <c r="F1" t="s">
        <v>586</v>
      </c>
      <c r="G1">
        <v>92</v>
      </c>
      <c r="H1" t="s">
        <v>587</v>
      </c>
      <c r="I1">
        <v>92</v>
      </c>
    </row>
    <row r="2" spans="1:9" x14ac:dyDescent="0.25">
      <c r="A2" t="s">
        <v>588</v>
      </c>
      <c r="B2" t="s">
        <v>589</v>
      </c>
      <c r="C2" t="s">
        <v>20</v>
      </c>
      <c r="D2" t="s">
        <v>19</v>
      </c>
      <c r="E2" s="1">
        <v>43831</v>
      </c>
      <c r="F2" t="s">
        <v>590</v>
      </c>
      <c r="G2">
        <v>92</v>
      </c>
      <c r="H2" t="s">
        <v>591</v>
      </c>
      <c r="I2">
        <v>92</v>
      </c>
    </row>
    <row r="3" spans="1:9" x14ac:dyDescent="0.25">
      <c r="A3" t="s">
        <v>592</v>
      </c>
      <c r="B3" t="s">
        <v>593</v>
      </c>
      <c r="C3" t="s">
        <v>49</v>
      </c>
      <c r="D3" t="s">
        <v>594</v>
      </c>
      <c r="E3" s="1">
        <v>43831</v>
      </c>
      <c r="F3" t="s">
        <v>595</v>
      </c>
      <c r="G3">
        <v>92</v>
      </c>
      <c r="H3" t="s">
        <v>596</v>
      </c>
      <c r="I3">
        <v>92</v>
      </c>
    </row>
    <row r="4" spans="1:9" x14ac:dyDescent="0.25">
      <c r="A4" t="s">
        <v>597</v>
      </c>
      <c r="B4" t="s">
        <v>598</v>
      </c>
      <c r="C4" t="s">
        <v>322</v>
      </c>
      <c r="D4" t="s">
        <v>321</v>
      </c>
      <c r="E4" s="1">
        <v>43831</v>
      </c>
      <c r="F4" t="s">
        <v>599</v>
      </c>
      <c r="G4">
        <v>92</v>
      </c>
      <c r="H4" t="s">
        <v>600</v>
      </c>
      <c r="I4">
        <v>92</v>
      </c>
    </row>
    <row r="5" spans="1:9" x14ac:dyDescent="0.25">
      <c r="A5" t="s">
        <v>601</v>
      </c>
      <c r="B5" t="s">
        <v>602</v>
      </c>
      <c r="C5" t="s">
        <v>142</v>
      </c>
      <c r="D5" t="s">
        <v>603</v>
      </c>
      <c r="E5" s="1">
        <v>43831</v>
      </c>
      <c r="F5" t="s">
        <v>604</v>
      </c>
      <c r="G5">
        <v>92</v>
      </c>
      <c r="H5" t="s">
        <v>605</v>
      </c>
      <c r="I5">
        <v>92</v>
      </c>
    </row>
    <row r="6" spans="1:9" x14ac:dyDescent="0.25">
      <c r="A6" t="s">
        <v>606</v>
      </c>
      <c r="B6" t="s">
        <v>607</v>
      </c>
      <c r="C6" t="s">
        <v>58</v>
      </c>
      <c r="D6" t="s">
        <v>559</v>
      </c>
      <c r="E6" s="1">
        <v>43831</v>
      </c>
      <c r="F6" t="s">
        <v>608</v>
      </c>
      <c r="G6">
        <v>92</v>
      </c>
      <c r="H6" t="s">
        <v>609</v>
      </c>
      <c r="I6">
        <v>92</v>
      </c>
    </row>
    <row r="7" spans="1:9" x14ac:dyDescent="0.25">
      <c r="A7" t="s">
        <v>610</v>
      </c>
      <c r="B7" t="s">
        <v>611</v>
      </c>
      <c r="C7" t="s">
        <v>31</v>
      </c>
      <c r="E7" s="1">
        <v>43831</v>
      </c>
      <c r="F7" t="s">
        <v>612</v>
      </c>
      <c r="G7">
        <v>92</v>
      </c>
      <c r="H7" t="s">
        <v>612</v>
      </c>
    </row>
    <row r="8" spans="1:9" x14ac:dyDescent="0.25">
      <c r="A8" t="s">
        <v>613</v>
      </c>
      <c r="B8" t="s">
        <v>614</v>
      </c>
      <c r="C8" t="s">
        <v>37</v>
      </c>
      <c r="D8" t="s">
        <v>615</v>
      </c>
      <c r="E8" s="1">
        <v>43831</v>
      </c>
      <c r="F8" t="s">
        <v>616</v>
      </c>
      <c r="G8">
        <v>92</v>
      </c>
      <c r="H8" t="s">
        <v>617</v>
      </c>
      <c r="I8">
        <v>92</v>
      </c>
    </row>
    <row r="9" spans="1:9" x14ac:dyDescent="0.25">
      <c r="A9" t="s">
        <v>618</v>
      </c>
      <c r="B9" t="s">
        <v>619</v>
      </c>
      <c r="C9" t="s">
        <v>83</v>
      </c>
      <c r="D9" t="s">
        <v>620</v>
      </c>
      <c r="E9" s="1">
        <v>43831</v>
      </c>
      <c r="F9" t="s">
        <v>621</v>
      </c>
      <c r="G9">
        <v>92</v>
      </c>
      <c r="H9" t="s">
        <v>622</v>
      </c>
      <c r="I9">
        <v>92</v>
      </c>
    </row>
    <row r="10" spans="1:9" x14ac:dyDescent="0.25">
      <c r="A10" t="s">
        <v>623</v>
      </c>
      <c r="B10" t="s">
        <v>624</v>
      </c>
      <c r="C10" t="s">
        <v>38</v>
      </c>
      <c r="E10" s="1">
        <v>43831</v>
      </c>
      <c r="F10" t="s">
        <v>625</v>
      </c>
      <c r="G10">
        <v>92</v>
      </c>
      <c r="H10" t="s">
        <v>625</v>
      </c>
    </row>
    <row r="11" spans="1:9" x14ac:dyDescent="0.25">
      <c r="A11" t="s">
        <v>626</v>
      </c>
      <c r="B11" t="s">
        <v>627</v>
      </c>
      <c r="C11" t="s">
        <v>628</v>
      </c>
      <c r="E11" s="1">
        <v>43831</v>
      </c>
      <c r="F11" t="s">
        <v>629</v>
      </c>
      <c r="G11">
        <v>92</v>
      </c>
      <c r="H11" t="s">
        <v>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CB64-671F-410D-AA68-9F53C1C152B8}">
  <dimension ref="A1:I25"/>
  <sheetViews>
    <sheetView workbookViewId="0">
      <selection sqref="A1:K25"/>
    </sheetView>
  </sheetViews>
  <sheetFormatPr defaultRowHeight="15" x14ac:dyDescent="0.25"/>
  <cols>
    <col min="4" max="4" width="24.7109375" bestFit="1" customWidth="1"/>
  </cols>
  <sheetData>
    <row r="1" spans="1:9" x14ac:dyDescent="0.25">
      <c r="A1" t="s">
        <v>631</v>
      </c>
      <c r="B1" t="s">
        <v>632</v>
      </c>
      <c r="C1" t="s">
        <v>583</v>
      </c>
      <c r="D1" t="s">
        <v>585</v>
      </c>
      <c r="F1" s="1">
        <v>43831</v>
      </c>
      <c r="G1" t="s">
        <v>633</v>
      </c>
      <c r="H1">
        <v>92</v>
      </c>
      <c r="I1" t="s">
        <v>633</v>
      </c>
    </row>
    <row r="2" spans="1:9" x14ac:dyDescent="0.25">
      <c r="A2" t="s">
        <v>634</v>
      </c>
      <c r="B2" t="s">
        <v>635</v>
      </c>
      <c r="C2" t="s">
        <v>618</v>
      </c>
      <c r="D2" t="s">
        <v>83</v>
      </c>
      <c r="F2" s="1">
        <v>43831</v>
      </c>
      <c r="G2" t="s">
        <v>636</v>
      </c>
      <c r="H2">
        <v>92</v>
      </c>
      <c r="I2" t="s">
        <v>636</v>
      </c>
    </row>
    <row r="3" spans="1:9" x14ac:dyDescent="0.25">
      <c r="A3" t="s">
        <v>637</v>
      </c>
      <c r="B3" t="s">
        <v>638</v>
      </c>
      <c r="C3" t="s">
        <v>592</v>
      </c>
      <c r="D3" t="s">
        <v>49</v>
      </c>
      <c r="F3" s="1">
        <v>43831</v>
      </c>
      <c r="G3" t="s">
        <v>639</v>
      </c>
      <c r="H3">
        <v>92</v>
      </c>
      <c r="I3" t="s">
        <v>639</v>
      </c>
    </row>
    <row r="4" spans="1:9" x14ac:dyDescent="0.25">
      <c r="A4" t="s">
        <v>640</v>
      </c>
      <c r="B4" t="s">
        <v>641</v>
      </c>
      <c r="C4" t="s">
        <v>592</v>
      </c>
      <c r="D4" t="s">
        <v>50</v>
      </c>
      <c r="F4" s="1">
        <v>43831</v>
      </c>
      <c r="G4" t="s">
        <v>642</v>
      </c>
      <c r="H4">
        <v>92</v>
      </c>
      <c r="I4" t="s">
        <v>642</v>
      </c>
    </row>
    <row r="5" spans="1:9" x14ac:dyDescent="0.25">
      <c r="A5" t="s">
        <v>643</v>
      </c>
      <c r="B5" t="s">
        <v>644</v>
      </c>
      <c r="C5" t="s">
        <v>592</v>
      </c>
      <c r="D5" t="s">
        <v>645</v>
      </c>
      <c r="F5" s="1">
        <v>43831</v>
      </c>
      <c r="G5" t="s">
        <v>646</v>
      </c>
      <c r="H5">
        <v>92</v>
      </c>
      <c r="I5" t="s">
        <v>646</v>
      </c>
    </row>
    <row r="6" spans="1:9" x14ac:dyDescent="0.25">
      <c r="A6" t="s">
        <v>647</v>
      </c>
      <c r="B6" t="s">
        <v>648</v>
      </c>
      <c r="C6" t="s">
        <v>592</v>
      </c>
      <c r="D6" t="s">
        <v>108</v>
      </c>
      <c r="F6" s="1">
        <v>43831</v>
      </c>
      <c r="G6" t="s">
        <v>649</v>
      </c>
      <c r="H6">
        <v>92</v>
      </c>
      <c r="I6" t="s">
        <v>649</v>
      </c>
    </row>
    <row r="7" spans="1:9" x14ac:dyDescent="0.25">
      <c r="A7" t="s">
        <v>650</v>
      </c>
      <c r="B7" t="s">
        <v>651</v>
      </c>
      <c r="C7" t="s">
        <v>592</v>
      </c>
      <c r="D7" t="s">
        <v>126</v>
      </c>
      <c r="F7" s="1">
        <v>43831</v>
      </c>
      <c r="G7" t="s">
        <v>652</v>
      </c>
      <c r="H7">
        <v>92</v>
      </c>
      <c r="I7" t="s">
        <v>652</v>
      </c>
    </row>
    <row r="8" spans="1:9" x14ac:dyDescent="0.25">
      <c r="A8" t="s">
        <v>653</v>
      </c>
      <c r="B8" t="s">
        <v>654</v>
      </c>
      <c r="C8" t="s">
        <v>597</v>
      </c>
      <c r="D8" t="s">
        <v>322</v>
      </c>
      <c r="F8" s="1">
        <v>43831</v>
      </c>
      <c r="G8" t="s">
        <v>655</v>
      </c>
      <c r="H8">
        <v>92</v>
      </c>
      <c r="I8" t="s">
        <v>655</v>
      </c>
    </row>
    <row r="9" spans="1:9" x14ac:dyDescent="0.25">
      <c r="A9" t="s">
        <v>656</v>
      </c>
      <c r="B9" t="s">
        <v>657</v>
      </c>
      <c r="C9" t="s">
        <v>613</v>
      </c>
      <c r="D9" t="s">
        <v>37</v>
      </c>
      <c r="F9" s="1">
        <v>43831</v>
      </c>
      <c r="G9" t="s">
        <v>658</v>
      </c>
      <c r="H9">
        <v>92</v>
      </c>
      <c r="I9" t="s">
        <v>658</v>
      </c>
    </row>
    <row r="10" spans="1:9" x14ac:dyDescent="0.25">
      <c r="A10" t="s">
        <v>659</v>
      </c>
      <c r="B10" t="s">
        <v>660</v>
      </c>
      <c r="C10" t="s">
        <v>613</v>
      </c>
      <c r="D10" t="s">
        <v>38</v>
      </c>
      <c r="F10" s="1">
        <v>43831</v>
      </c>
      <c r="G10" t="s">
        <v>661</v>
      </c>
      <c r="H10">
        <v>92</v>
      </c>
      <c r="I10" t="s">
        <v>661</v>
      </c>
    </row>
    <row r="11" spans="1:9" x14ac:dyDescent="0.25">
      <c r="A11" t="s">
        <v>662</v>
      </c>
      <c r="B11" t="s">
        <v>663</v>
      </c>
      <c r="C11" t="s">
        <v>613</v>
      </c>
      <c r="D11" t="s">
        <v>74</v>
      </c>
      <c r="F11" s="1">
        <v>43831</v>
      </c>
      <c r="G11" t="s">
        <v>664</v>
      </c>
      <c r="H11">
        <v>92</v>
      </c>
      <c r="I11" t="s">
        <v>664</v>
      </c>
    </row>
    <row r="12" spans="1:9" x14ac:dyDescent="0.25">
      <c r="A12" t="s">
        <v>665</v>
      </c>
      <c r="B12" t="s">
        <v>666</v>
      </c>
      <c r="C12" t="s">
        <v>601</v>
      </c>
      <c r="D12" t="s">
        <v>143</v>
      </c>
      <c r="F12" s="1">
        <v>43831</v>
      </c>
      <c r="G12" t="s">
        <v>667</v>
      </c>
      <c r="H12">
        <v>92</v>
      </c>
      <c r="I12" t="s">
        <v>667</v>
      </c>
    </row>
    <row r="13" spans="1:9" x14ac:dyDescent="0.25">
      <c r="A13" t="s">
        <v>668</v>
      </c>
      <c r="B13" t="s">
        <v>669</v>
      </c>
      <c r="C13" t="s">
        <v>610</v>
      </c>
      <c r="D13" t="s">
        <v>32</v>
      </c>
      <c r="F13" s="1">
        <v>43831</v>
      </c>
      <c r="G13" t="s">
        <v>670</v>
      </c>
      <c r="H13">
        <v>92</v>
      </c>
      <c r="I13" t="s">
        <v>670</v>
      </c>
    </row>
    <row r="14" spans="1:9" x14ac:dyDescent="0.25">
      <c r="A14" t="s">
        <v>671</v>
      </c>
      <c r="B14" t="s">
        <v>672</v>
      </c>
      <c r="C14" t="s">
        <v>601</v>
      </c>
      <c r="D14" t="s">
        <v>271</v>
      </c>
      <c r="F14" s="1">
        <v>43831</v>
      </c>
      <c r="G14" t="s">
        <v>673</v>
      </c>
      <c r="H14">
        <v>92</v>
      </c>
      <c r="I14" t="s">
        <v>673</v>
      </c>
    </row>
    <row r="15" spans="1:9" x14ac:dyDescent="0.25">
      <c r="A15" t="s">
        <v>674</v>
      </c>
      <c r="B15" t="s">
        <v>675</v>
      </c>
      <c r="C15" t="s">
        <v>606</v>
      </c>
      <c r="D15" t="s">
        <v>59</v>
      </c>
      <c r="F15" s="1">
        <v>43831</v>
      </c>
      <c r="G15" t="s">
        <v>676</v>
      </c>
      <c r="H15">
        <v>92</v>
      </c>
      <c r="I15" t="s">
        <v>676</v>
      </c>
    </row>
    <row r="16" spans="1:9" x14ac:dyDescent="0.25">
      <c r="A16" t="s">
        <v>677</v>
      </c>
      <c r="B16" t="s">
        <v>678</v>
      </c>
      <c r="C16" t="s">
        <v>601</v>
      </c>
      <c r="D16" t="s">
        <v>148</v>
      </c>
      <c r="F16" s="1">
        <v>43831</v>
      </c>
      <c r="G16" t="s">
        <v>679</v>
      </c>
      <c r="H16">
        <v>92</v>
      </c>
      <c r="I16" t="s">
        <v>679</v>
      </c>
    </row>
    <row r="17" spans="1:9" x14ac:dyDescent="0.25">
      <c r="A17" t="s">
        <v>680</v>
      </c>
      <c r="B17" t="s">
        <v>681</v>
      </c>
      <c r="C17" t="s">
        <v>601</v>
      </c>
      <c r="D17" t="s">
        <v>407</v>
      </c>
      <c r="F17" s="1">
        <v>43831</v>
      </c>
      <c r="G17" t="s">
        <v>682</v>
      </c>
      <c r="H17">
        <v>92</v>
      </c>
      <c r="I17" t="s">
        <v>682</v>
      </c>
    </row>
    <row r="18" spans="1:9" x14ac:dyDescent="0.25">
      <c r="A18" t="s">
        <v>683</v>
      </c>
      <c r="B18" t="s">
        <v>684</v>
      </c>
      <c r="C18" t="s">
        <v>592</v>
      </c>
      <c r="D18" t="s">
        <v>685</v>
      </c>
      <c r="F18" s="1">
        <v>43831</v>
      </c>
      <c r="G18" t="s">
        <v>686</v>
      </c>
      <c r="H18">
        <v>92</v>
      </c>
      <c r="I18" t="s">
        <v>686</v>
      </c>
    </row>
    <row r="19" spans="1:9" x14ac:dyDescent="0.25">
      <c r="A19" t="s">
        <v>687</v>
      </c>
      <c r="B19" t="s">
        <v>688</v>
      </c>
      <c r="C19" t="s">
        <v>613</v>
      </c>
      <c r="D19" t="s">
        <v>79</v>
      </c>
      <c r="F19" s="1">
        <v>43831</v>
      </c>
      <c r="G19" t="s">
        <v>689</v>
      </c>
      <c r="H19">
        <v>92</v>
      </c>
      <c r="I19" t="s">
        <v>689</v>
      </c>
    </row>
    <row r="20" spans="1:9" x14ac:dyDescent="0.25">
      <c r="A20" t="s">
        <v>690</v>
      </c>
      <c r="B20" t="s">
        <v>691</v>
      </c>
      <c r="C20" t="s">
        <v>613</v>
      </c>
      <c r="D20" t="s">
        <v>692</v>
      </c>
      <c r="F20" s="1">
        <v>43831</v>
      </c>
      <c r="G20" t="s">
        <v>693</v>
      </c>
      <c r="H20">
        <v>92</v>
      </c>
      <c r="I20" t="s">
        <v>693</v>
      </c>
    </row>
    <row r="21" spans="1:9" x14ac:dyDescent="0.25">
      <c r="A21" t="s">
        <v>694</v>
      </c>
      <c r="B21" t="s">
        <v>695</v>
      </c>
      <c r="C21" t="s">
        <v>588</v>
      </c>
      <c r="D21" t="s">
        <v>21</v>
      </c>
      <c r="F21" s="1">
        <v>43831</v>
      </c>
      <c r="G21" t="s">
        <v>696</v>
      </c>
      <c r="H21">
        <v>92</v>
      </c>
      <c r="I21" t="s">
        <v>696</v>
      </c>
    </row>
    <row r="22" spans="1:9" x14ac:dyDescent="0.25">
      <c r="A22" t="s">
        <v>697</v>
      </c>
      <c r="B22" t="s">
        <v>698</v>
      </c>
      <c r="C22" t="s">
        <v>588</v>
      </c>
      <c r="D22" t="s">
        <v>95</v>
      </c>
      <c r="F22" s="1">
        <v>43831</v>
      </c>
      <c r="G22" t="s">
        <v>699</v>
      </c>
      <c r="H22">
        <v>92</v>
      </c>
      <c r="I22" t="s">
        <v>699</v>
      </c>
    </row>
    <row r="23" spans="1:9" x14ac:dyDescent="0.25">
      <c r="A23" t="s">
        <v>700</v>
      </c>
      <c r="B23" t="s">
        <v>701</v>
      </c>
      <c r="C23" t="s">
        <v>588</v>
      </c>
      <c r="D23" t="s">
        <v>702</v>
      </c>
      <c r="F23" s="1">
        <v>43831</v>
      </c>
      <c r="G23" t="s">
        <v>703</v>
      </c>
      <c r="H23">
        <v>92</v>
      </c>
      <c r="I23" t="s">
        <v>703</v>
      </c>
    </row>
    <row r="24" spans="1:9" x14ac:dyDescent="0.25">
      <c r="A24" t="s">
        <v>704</v>
      </c>
      <c r="B24" t="s">
        <v>705</v>
      </c>
      <c r="C24" t="s">
        <v>623</v>
      </c>
      <c r="D24" t="s">
        <v>38</v>
      </c>
      <c r="F24" s="1">
        <v>43831</v>
      </c>
      <c r="G24" t="s">
        <v>706</v>
      </c>
      <c r="H24">
        <v>92</v>
      </c>
      <c r="I24" t="s">
        <v>706</v>
      </c>
    </row>
    <row r="25" spans="1:9" x14ac:dyDescent="0.25">
      <c r="A25" t="s">
        <v>707</v>
      </c>
      <c r="B25" t="s">
        <v>708</v>
      </c>
      <c r="C25" t="s">
        <v>592</v>
      </c>
      <c r="D25" t="s">
        <v>442</v>
      </c>
      <c r="F25" s="1">
        <v>44490</v>
      </c>
      <c r="G25" t="s">
        <v>709</v>
      </c>
      <c r="H25">
        <v>92</v>
      </c>
      <c r="I25" t="s">
        <v>709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38CA-39CA-4902-8643-5A97BAFEFF0B}">
  <dimension ref="A1:H6"/>
  <sheetViews>
    <sheetView workbookViewId="0">
      <selection sqref="A1:J6"/>
    </sheetView>
  </sheetViews>
  <sheetFormatPr defaultRowHeight="15" x14ac:dyDescent="0.25"/>
  <sheetData>
    <row r="1" spans="1:8" x14ac:dyDescent="0.25">
      <c r="A1" t="s">
        <v>710</v>
      </c>
      <c r="B1" t="s">
        <v>711</v>
      </c>
      <c r="C1" t="s">
        <v>98</v>
      </c>
      <c r="D1" s="1">
        <v>44495</v>
      </c>
      <c r="F1" t="s">
        <v>712</v>
      </c>
      <c r="G1">
        <v>92</v>
      </c>
      <c r="H1" t="s">
        <v>712</v>
      </c>
    </row>
    <row r="2" spans="1:8" x14ac:dyDescent="0.25">
      <c r="A2" t="s">
        <v>713</v>
      </c>
      <c r="B2" t="s">
        <v>714</v>
      </c>
      <c r="C2" t="s">
        <v>154</v>
      </c>
      <c r="D2" s="1">
        <v>44495</v>
      </c>
      <c r="F2" t="s">
        <v>715</v>
      </c>
      <c r="G2">
        <v>92</v>
      </c>
      <c r="H2" t="s">
        <v>715</v>
      </c>
    </row>
    <row r="3" spans="1:8" x14ac:dyDescent="0.25">
      <c r="A3" t="s">
        <v>716</v>
      </c>
      <c r="B3" t="s">
        <v>717</v>
      </c>
      <c r="C3" t="s">
        <v>24</v>
      </c>
      <c r="D3" s="1">
        <v>44495</v>
      </c>
      <c r="F3" t="s">
        <v>718</v>
      </c>
      <c r="G3">
        <v>92</v>
      </c>
      <c r="H3" t="s">
        <v>718</v>
      </c>
    </row>
    <row r="4" spans="1:8" x14ac:dyDescent="0.25">
      <c r="A4" t="s">
        <v>719</v>
      </c>
      <c r="B4" t="s">
        <v>720</v>
      </c>
      <c r="C4" t="s">
        <v>44</v>
      </c>
      <c r="D4" s="1">
        <v>44495</v>
      </c>
      <c r="F4" t="s">
        <v>721</v>
      </c>
      <c r="G4">
        <v>92</v>
      </c>
      <c r="H4" t="s">
        <v>721</v>
      </c>
    </row>
    <row r="5" spans="1:8" x14ac:dyDescent="0.25">
      <c r="A5" t="s">
        <v>722</v>
      </c>
      <c r="B5" t="s">
        <v>723</v>
      </c>
      <c r="C5" t="s">
        <v>724</v>
      </c>
      <c r="D5" s="1">
        <v>44495</v>
      </c>
      <c r="F5" t="s">
        <v>725</v>
      </c>
      <c r="G5">
        <v>92</v>
      </c>
      <c r="H5" t="s">
        <v>725</v>
      </c>
    </row>
    <row r="6" spans="1:8" x14ac:dyDescent="0.25">
      <c r="A6" t="s">
        <v>726</v>
      </c>
      <c r="B6" t="s">
        <v>727</v>
      </c>
      <c r="C6" t="s">
        <v>66</v>
      </c>
      <c r="D6" s="1">
        <v>44495</v>
      </c>
      <c r="F6" t="s">
        <v>728</v>
      </c>
      <c r="G6">
        <v>92</v>
      </c>
      <c r="H6" t="s">
        <v>728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8B0A-93ED-4F10-9903-0BA57F255CA1}">
  <dimension ref="A1:H9"/>
  <sheetViews>
    <sheetView workbookViewId="0">
      <selection sqref="A1:J9"/>
    </sheetView>
  </sheetViews>
  <sheetFormatPr defaultRowHeight="15" x14ac:dyDescent="0.25"/>
  <sheetData>
    <row r="1" spans="1:8" x14ac:dyDescent="0.25">
      <c r="A1" t="s">
        <v>731</v>
      </c>
      <c r="B1" t="s">
        <v>732</v>
      </c>
      <c r="C1" t="s">
        <v>99</v>
      </c>
      <c r="D1" s="1">
        <v>43831</v>
      </c>
      <c r="F1" t="s">
        <v>733</v>
      </c>
      <c r="G1">
        <v>92</v>
      </c>
      <c r="H1" t="s">
        <v>733</v>
      </c>
    </row>
    <row r="2" spans="1:8" x14ac:dyDescent="0.25">
      <c r="A2" t="s">
        <v>734</v>
      </c>
      <c r="B2" t="s">
        <v>735</v>
      </c>
      <c r="C2" t="s">
        <v>155</v>
      </c>
      <c r="D2" s="1">
        <v>43831</v>
      </c>
      <c r="F2" t="s">
        <v>736</v>
      </c>
      <c r="G2">
        <v>92</v>
      </c>
      <c r="H2" t="s">
        <v>736</v>
      </c>
    </row>
    <row r="3" spans="1:8" x14ac:dyDescent="0.25">
      <c r="A3" t="s">
        <v>737</v>
      </c>
      <c r="B3" t="s">
        <v>738</v>
      </c>
      <c r="C3" t="s">
        <v>25</v>
      </c>
      <c r="D3" s="1">
        <v>43831</v>
      </c>
      <c r="F3" t="s">
        <v>739</v>
      </c>
      <c r="G3">
        <v>92</v>
      </c>
      <c r="H3" t="s">
        <v>739</v>
      </c>
    </row>
    <row r="4" spans="1:8" x14ac:dyDescent="0.25">
      <c r="A4" t="s">
        <v>740</v>
      </c>
      <c r="B4" t="s">
        <v>741</v>
      </c>
      <c r="C4" t="s">
        <v>742</v>
      </c>
      <c r="D4" s="1">
        <v>43831</v>
      </c>
      <c r="F4" t="s">
        <v>743</v>
      </c>
      <c r="G4">
        <v>92</v>
      </c>
      <c r="H4" t="s">
        <v>743</v>
      </c>
    </row>
    <row r="5" spans="1:8" x14ac:dyDescent="0.25">
      <c r="A5" t="s">
        <v>744</v>
      </c>
      <c r="B5" t="s">
        <v>745</v>
      </c>
      <c r="C5" t="s">
        <v>395</v>
      </c>
      <c r="D5" s="1">
        <v>43831</v>
      </c>
      <c r="F5" t="s">
        <v>746</v>
      </c>
      <c r="G5">
        <v>92</v>
      </c>
      <c r="H5" t="s">
        <v>746</v>
      </c>
    </row>
    <row r="6" spans="1:8" x14ac:dyDescent="0.25">
      <c r="A6" t="s">
        <v>747</v>
      </c>
      <c r="B6" t="s">
        <v>748</v>
      </c>
      <c r="C6" t="s">
        <v>207</v>
      </c>
      <c r="D6" s="1">
        <v>43831</v>
      </c>
      <c r="F6" t="s">
        <v>749</v>
      </c>
      <c r="G6">
        <v>92</v>
      </c>
      <c r="H6" t="s">
        <v>749</v>
      </c>
    </row>
    <row r="7" spans="1:8" x14ac:dyDescent="0.25">
      <c r="A7" t="s">
        <v>750</v>
      </c>
      <c r="B7" t="s">
        <v>751</v>
      </c>
      <c r="C7" t="s">
        <v>40</v>
      </c>
      <c r="D7" s="1">
        <v>43831</v>
      </c>
      <c r="F7" t="s">
        <v>752</v>
      </c>
      <c r="G7">
        <v>92</v>
      </c>
      <c r="H7" t="s">
        <v>752</v>
      </c>
    </row>
    <row r="8" spans="1:8" x14ac:dyDescent="0.25">
      <c r="A8" t="s">
        <v>753</v>
      </c>
      <c r="B8" t="s">
        <v>754</v>
      </c>
      <c r="C8" t="s">
        <v>724</v>
      </c>
      <c r="D8" s="1">
        <v>43831</v>
      </c>
      <c r="F8" t="s">
        <v>755</v>
      </c>
      <c r="G8">
        <v>92</v>
      </c>
      <c r="H8" t="s">
        <v>755</v>
      </c>
    </row>
    <row r="9" spans="1:8" x14ac:dyDescent="0.25">
      <c r="A9" t="s">
        <v>756</v>
      </c>
      <c r="B9" t="s">
        <v>757</v>
      </c>
      <c r="C9" t="s">
        <v>66</v>
      </c>
      <c r="D9" s="1">
        <v>43831</v>
      </c>
      <c r="F9" t="s">
        <v>758</v>
      </c>
      <c r="G9">
        <v>92</v>
      </c>
      <c r="H9" t="s">
        <v>758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AAF8-6347-44F3-990A-8698724F8475}">
  <dimension ref="A1:I3"/>
  <sheetViews>
    <sheetView workbookViewId="0">
      <selection sqref="A1:J3"/>
    </sheetView>
  </sheetViews>
  <sheetFormatPr defaultRowHeight="15" x14ac:dyDescent="0.25"/>
  <sheetData>
    <row r="1" spans="1:9" x14ac:dyDescent="0.25">
      <c r="A1" t="s">
        <v>760</v>
      </c>
      <c r="B1" t="s">
        <v>761</v>
      </c>
      <c r="C1" t="s">
        <v>232</v>
      </c>
      <c r="D1" s="1">
        <v>43831</v>
      </c>
      <c r="F1" t="s">
        <v>762</v>
      </c>
      <c r="G1">
        <v>92</v>
      </c>
      <c r="H1" t="s">
        <v>763</v>
      </c>
    </row>
    <row r="2" spans="1:9" x14ac:dyDescent="0.25">
      <c r="A2" t="s">
        <v>764</v>
      </c>
      <c r="B2" t="s">
        <v>765</v>
      </c>
      <c r="C2" t="s">
        <v>90</v>
      </c>
      <c r="D2" s="1">
        <v>43831</v>
      </c>
      <c r="F2" t="s">
        <v>766</v>
      </c>
      <c r="G2">
        <v>92</v>
      </c>
      <c r="H2" t="s">
        <v>763</v>
      </c>
    </row>
    <row r="3" spans="1:9" x14ac:dyDescent="0.25">
      <c r="A3" t="s">
        <v>767</v>
      </c>
      <c r="B3" t="s">
        <v>768</v>
      </c>
      <c r="C3" t="s">
        <v>26</v>
      </c>
      <c r="D3" s="1">
        <v>43831</v>
      </c>
      <c r="F3" t="s">
        <v>769</v>
      </c>
      <c r="G3">
        <v>92</v>
      </c>
      <c r="H3" t="s">
        <v>770</v>
      </c>
      <c r="I3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8468-50B3-44DD-B42A-AC5C4B53B99C}">
  <dimension ref="A1:I7"/>
  <sheetViews>
    <sheetView workbookViewId="0">
      <selection sqref="A1:J7"/>
    </sheetView>
  </sheetViews>
  <sheetFormatPr defaultRowHeight="15" x14ac:dyDescent="0.25"/>
  <sheetData>
    <row r="1" spans="1:9" x14ac:dyDescent="0.25">
      <c r="A1" t="s">
        <v>771</v>
      </c>
      <c r="B1" t="s">
        <v>772</v>
      </c>
      <c r="C1" t="s">
        <v>85</v>
      </c>
      <c r="D1" s="1">
        <v>43831</v>
      </c>
      <c r="F1" t="s">
        <v>773</v>
      </c>
      <c r="G1">
        <v>92</v>
      </c>
      <c r="H1" t="s">
        <v>774</v>
      </c>
    </row>
    <row r="2" spans="1:9" x14ac:dyDescent="0.25">
      <c r="A2" t="s">
        <v>775</v>
      </c>
      <c r="B2" t="s">
        <v>776</v>
      </c>
      <c r="C2" t="s">
        <v>100</v>
      </c>
      <c r="D2" s="1">
        <v>43831</v>
      </c>
      <c r="F2" t="s">
        <v>777</v>
      </c>
      <c r="G2">
        <v>92</v>
      </c>
      <c r="H2" t="s">
        <v>774</v>
      </c>
    </row>
    <row r="3" spans="1:9" x14ac:dyDescent="0.25">
      <c r="A3" t="s">
        <v>778</v>
      </c>
      <c r="B3" t="s">
        <v>779</v>
      </c>
      <c r="C3" t="s">
        <v>237</v>
      </c>
      <c r="D3" s="1">
        <v>43831</v>
      </c>
      <c r="F3" t="s">
        <v>780</v>
      </c>
      <c r="G3">
        <v>92</v>
      </c>
      <c r="H3" t="s">
        <v>774</v>
      </c>
    </row>
    <row r="4" spans="1:9" x14ac:dyDescent="0.25">
      <c r="A4" t="s">
        <v>781</v>
      </c>
      <c r="B4" t="s">
        <v>782</v>
      </c>
      <c r="C4" t="s">
        <v>385</v>
      </c>
      <c r="D4" s="1">
        <v>43831</v>
      </c>
      <c r="F4" t="s">
        <v>783</v>
      </c>
      <c r="G4">
        <v>92</v>
      </c>
      <c r="H4" t="s">
        <v>774</v>
      </c>
    </row>
    <row r="5" spans="1:9" x14ac:dyDescent="0.25">
      <c r="A5" t="s">
        <v>784</v>
      </c>
      <c r="B5" t="s">
        <v>785</v>
      </c>
      <c r="C5" t="s">
        <v>423</v>
      </c>
      <c r="D5" s="1">
        <v>43831</v>
      </c>
      <c r="F5" t="s">
        <v>786</v>
      </c>
      <c r="G5">
        <v>92</v>
      </c>
      <c r="H5" t="s">
        <v>774</v>
      </c>
    </row>
    <row r="6" spans="1:9" x14ac:dyDescent="0.25">
      <c r="A6" t="s">
        <v>787</v>
      </c>
      <c r="B6" t="s">
        <v>788</v>
      </c>
      <c r="C6" t="s">
        <v>455</v>
      </c>
      <c r="D6" s="1">
        <v>43831</v>
      </c>
      <c r="F6" t="s">
        <v>789</v>
      </c>
      <c r="G6">
        <v>92</v>
      </c>
      <c r="H6" t="s">
        <v>774</v>
      </c>
    </row>
    <row r="7" spans="1:9" x14ac:dyDescent="0.25">
      <c r="A7" t="s">
        <v>790</v>
      </c>
      <c r="B7" t="s">
        <v>791</v>
      </c>
      <c r="C7" t="s">
        <v>27</v>
      </c>
      <c r="D7" s="1">
        <v>43831</v>
      </c>
      <c r="F7" t="s">
        <v>792</v>
      </c>
      <c r="G7">
        <v>92</v>
      </c>
      <c r="H7" t="s">
        <v>774</v>
      </c>
      <c r="I7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3EDE-D62C-4D36-AAF8-29EF1DA30BFE}">
  <sheetPr filterMode="1"/>
  <dimension ref="A1:T61"/>
  <sheetViews>
    <sheetView workbookViewId="0">
      <selection activeCell="C17" sqref="C17"/>
    </sheetView>
  </sheetViews>
  <sheetFormatPr defaultRowHeight="15" x14ac:dyDescent="0.25"/>
  <cols>
    <col min="1" max="1" width="37.5703125" bestFit="1" customWidth="1"/>
    <col min="2" max="2" width="9.28515625" bestFit="1" customWidth="1"/>
    <col min="3" max="3" width="28.7109375" bestFit="1" customWidth="1"/>
    <col min="5" max="5" width="38.140625" bestFit="1" customWidth="1"/>
    <col min="6" max="7" width="38" bestFit="1" customWidth="1"/>
    <col min="8" max="8" width="37.28515625" bestFit="1" customWidth="1"/>
    <col min="9" max="9" width="37.5703125" bestFit="1" customWidth="1"/>
    <col min="10" max="10" width="38" bestFit="1" customWidth="1"/>
    <col min="11" max="11" width="4.42578125" bestFit="1" customWidth="1"/>
    <col min="12" max="12" width="37.7109375" bestFit="1" customWidth="1"/>
    <col min="13" max="13" width="37.42578125" bestFit="1" customWidth="1"/>
    <col min="14" max="14" width="10.42578125" bestFit="1" customWidth="1"/>
    <col min="15" max="16" width="2" bestFit="1" customWidth="1"/>
    <col min="17" max="17" width="21.42578125" bestFit="1" customWidth="1"/>
    <col min="18" max="18" width="3" bestFit="1" customWidth="1"/>
    <col min="19" max="19" width="21.42578125" bestFit="1" customWidth="1"/>
    <col min="20" max="20" width="3" bestFit="1" customWidth="1"/>
  </cols>
  <sheetData>
    <row r="1" spans="1:19" x14ac:dyDescent="0.25">
      <c r="A1" t="s">
        <v>578</v>
      </c>
      <c r="B1" t="s">
        <v>579</v>
      </c>
      <c r="C1" t="s">
        <v>580</v>
      </c>
    </row>
    <row r="2" spans="1:19" hidden="1" x14ac:dyDescent="0.25">
      <c r="A2" t="s">
        <v>794</v>
      </c>
      <c r="B2" t="s">
        <v>795</v>
      </c>
      <c r="C2" t="s">
        <v>796</v>
      </c>
      <c r="E2" t="s">
        <v>459</v>
      </c>
      <c r="F2" t="s">
        <v>583</v>
      </c>
      <c r="G2" t="s">
        <v>631</v>
      </c>
      <c r="H2" t="s">
        <v>797</v>
      </c>
      <c r="I2" t="s">
        <v>726</v>
      </c>
      <c r="J2" t="s">
        <v>756</v>
      </c>
      <c r="K2" t="s">
        <v>22</v>
      </c>
      <c r="L2" t="s">
        <v>767</v>
      </c>
      <c r="M2" t="s">
        <v>790</v>
      </c>
      <c r="N2" s="1">
        <v>43831</v>
      </c>
      <c r="O2">
        <v>0</v>
      </c>
      <c r="P2">
        <v>0</v>
      </c>
      <c r="Q2" t="s">
        <v>798</v>
      </c>
      <c r="R2">
        <v>92</v>
      </c>
      <c r="S2" t="s">
        <v>799</v>
      </c>
    </row>
    <row r="3" spans="1:19" hidden="1" x14ac:dyDescent="0.25">
      <c r="A3" t="s">
        <v>800</v>
      </c>
      <c r="B3" t="s">
        <v>801</v>
      </c>
      <c r="C3" t="s">
        <v>127</v>
      </c>
      <c r="E3" t="s">
        <v>466</v>
      </c>
      <c r="F3" t="s">
        <v>592</v>
      </c>
      <c r="G3" t="s">
        <v>640</v>
      </c>
      <c r="H3" t="s">
        <v>802</v>
      </c>
      <c r="I3" t="s">
        <v>719</v>
      </c>
      <c r="J3" t="s">
        <v>750</v>
      </c>
      <c r="K3" t="s">
        <v>22</v>
      </c>
      <c r="L3" t="s">
        <v>767</v>
      </c>
      <c r="M3" t="s">
        <v>790</v>
      </c>
      <c r="N3" s="1">
        <v>43831</v>
      </c>
      <c r="O3">
        <v>1</v>
      </c>
      <c r="P3">
        <v>0</v>
      </c>
      <c r="Q3" t="s">
        <v>803</v>
      </c>
      <c r="R3">
        <v>92</v>
      </c>
      <c r="S3" t="s">
        <v>804</v>
      </c>
    </row>
    <row r="4" spans="1:19" hidden="1" x14ac:dyDescent="0.25">
      <c r="A4" t="s">
        <v>805</v>
      </c>
      <c r="B4" t="s">
        <v>806</v>
      </c>
      <c r="C4" t="s">
        <v>109</v>
      </c>
      <c r="E4" s="2" t="s">
        <v>493</v>
      </c>
      <c r="F4" t="s">
        <v>592</v>
      </c>
      <c r="G4" t="s">
        <v>647</v>
      </c>
      <c r="H4" t="s">
        <v>802</v>
      </c>
      <c r="I4" t="s">
        <v>719</v>
      </c>
      <c r="J4" t="s">
        <v>750</v>
      </c>
      <c r="K4" t="s">
        <v>22</v>
      </c>
      <c r="L4" t="s">
        <v>764</v>
      </c>
      <c r="M4" t="s">
        <v>775</v>
      </c>
      <c r="N4" s="1">
        <v>43831</v>
      </c>
      <c r="O4">
        <v>1</v>
      </c>
      <c r="P4">
        <v>0</v>
      </c>
      <c r="Q4" t="s">
        <v>807</v>
      </c>
      <c r="R4">
        <v>92</v>
      </c>
      <c r="S4" t="s">
        <v>804</v>
      </c>
    </row>
    <row r="5" spans="1:19" hidden="1" x14ac:dyDescent="0.25">
      <c r="A5" t="s">
        <v>808</v>
      </c>
      <c r="B5" t="s">
        <v>809</v>
      </c>
      <c r="C5" t="s">
        <v>160</v>
      </c>
      <c r="E5" s="2" t="s">
        <v>493</v>
      </c>
      <c r="F5" t="s">
        <v>592</v>
      </c>
      <c r="G5" t="s">
        <v>647</v>
      </c>
      <c r="H5" t="s">
        <v>802</v>
      </c>
      <c r="I5" t="s">
        <v>719</v>
      </c>
      <c r="J5" t="s">
        <v>750</v>
      </c>
      <c r="K5" t="s">
        <v>22</v>
      </c>
      <c r="L5" t="s">
        <v>767</v>
      </c>
      <c r="M5" t="s">
        <v>775</v>
      </c>
      <c r="N5" s="1">
        <v>43831</v>
      </c>
      <c r="O5">
        <v>1</v>
      </c>
      <c r="P5">
        <v>0</v>
      </c>
      <c r="Q5" t="s">
        <v>810</v>
      </c>
      <c r="R5">
        <v>92</v>
      </c>
      <c r="S5" t="s">
        <v>804</v>
      </c>
    </row>
    <row r="6" spans="1:19" hidden="1" x14ac:dyDescent="0.25">
      <c r="A6" t="s">
        <v>811</v>
      </c>
      <c r="B6" t="s">
        <v>812</v>
      </c>
      <c r="C6" t="s">
        <v>813</v>
      </c>
      <c r="E6" s="2" t="s">
        <v>493</v>
      </c>
      <c r="F6" t="s">
        <v>592</v>
      </c>
      <c r="G6" t="s">
        <v>647</v>
      </c>
      <c r="H6" t="s">
        <v>802</v>
      </c>
      <c r="I6" t="s">
        <v>719</v>
      </c>
      <c r="J6" t="s">
        <v>750</v>
      </c>
      <c r="K6" t="s">
        <v>22</v>
      </c>
      <c r="L6" t="s">
        <v>767</v>
      </c>
      <c r="M6" t="s">
        <v>775</v>
      </c>
      <c r="N6" s="1">
        <v>43831</v>
      </c>
      <c r="O6">
        <v>1</v>
      </c>
      <c r="P6">
        <v>0</v>
      </c>
      <c r="Q6" t="s">
        <v>814</v>
      </c>
      <c r="R6">
        <v>92</v>
      </c>
      <c r="S6" t="s">
        <v>804</v>
      </c>
    </row>
    <row r="7" spans="1:19" hidden="1" x14ac:dyDescent="0.25">
      <c r="A7" t="s">
        <v>815</v>
      </c>
      <c r="B7" t="s">
        <v>816</v>
      </c>
      <c r="C7" t="s">
        <v>433</v>
      </c>
      <c r="E7" t="s">
        <v>497</v>
      </c>
      <c r="F7" t="s">
        <v>592</v>
      </c>
      <c r="G7" t="s">
        <v>647</v>
      </c>
      <c r="H7" t="s">
        <v>811</v>
      </c>
      <c r="I7" t="s">
        <v>716</v>
      </c>
      <c r="J7" t="s">
        <v>747</v>
      </c>
      <c r="K7" t="s">
        <v>22</v>
      </c>
      <c r="L7" t="s">
        <v>760</v>
      </c>
      <c r="M7" t="s">
        <v>784</v>
      </c>
      <c r="N7" s="1">
        <v>43831</v>
      </c>
      <c r="O7">
        <v>1</v>
      </c>
      <c r="P7">
        <v>1</v>
      </c>
      <c r="Q7" t="s">
        <v>817</v>
      </c>
      <c r="R7">
        <v>92</v>
      </c>
      <c r="S7" t="s">
        <v>804</v>
      </c>
    </row>
    <row r="8" spans="1:19" hidden="1" x14ac:dyDescent="0.25">
      <c r="A8" t="s">
        <v>818</v>
      </c>
      <c r="B8" t="s">
        <v>819</v>
      </c>
      <c r="C8" t="s">
        <v>316</v>
      </c>
      <c r="E8" s="2" t="s">
        <v>493</v>
      </c>
      <c r="F8" t="s">
        <v>592</v>
      </c>
      <c r="G8" t="s">
        <v>650</v>
      </c>
      <c r="H8" t="s">
        <v>800</v>
      </c>
      <c r="I8" t="s">
        <v>719</v>
      </c>
      <c r="J8" t="s">
        <v>750</v>
      </c>
      <c r="K8" t="s">
        <v>22</v>
      </c>
      <c r="L8" t="s">
        <v>764</v>
      </c>
      <c r="M8" t="s">
        <v>775</v>
      </c>
      <c r="N8" s="1">
        <v>43831</v>
      </c>
      <c r="O8">
        <v>1</v>
      </c>
      <c r="P8">
        <v>0</v>
      </c>
      <c r="Q8" t="s">
        <v>820</v>
      </c>
      <c r="R8">
        <v>92</v>
      </c>
      <c r="S8" t="s">
        <v>804</v>
      </c>
    </row>
    <row r="9" spans="1:19" hidden="1" x14ac:dyDescent="0.25">
      <c r="A9" t="s">
        <v>821</v>
      </c>
      <c r="B9" t="s">
        <v>822</v>
      </c>
      <c r="C9" t="s">
        <v>452</v>
      </c>
      <c r="E9" t="s">
        <v>506</v>
      </c>
      <c r="F9" t="s">
        <v>592</v>
      </c>
      <c r="G9" t="s">
        <v>650</v>
      </c>
      <c r="H9" t="s">
        <v>818</v>
      </c>
      <c r="I9" t="s">
        <v>716</v>
      </c>
      <c r="J9" t="s">
        <v>747</v>
      </c>
      <c r="K9" t="s">
        <v>22</v>
      </c>
      <c r="L9" t="s">
        <v>764</v>
      </c>
      <c r="M9" t="s">
        <v>775</v>
      </c>
      <c r="N9" s="1">
        <v>43831</v>
      </c>
      <c r="O9">
        <v>1</v>
      </c>
      <c r="P9">
        <v>1</v>
      </c>
      <c r="Q9" t="s">
        <v>823</v>
      </c>
      <c r="R9">
        <v>92</v>
      </c>
      <c r="S9" t="s">
        <v>804</v>
      </c>
    </row>
    <row r="10" spans="1:19" hidden="1" x14ac:dyDescent="0.25">
      <c r="A10" t="s">
        <v>824</v>
      </c>
      <c r="B10" t="s">
        <v>825</v>
      </c>
      <c r="C10" t="s">
        <v>291</v>
      </c>
      <c r="E10" t="s">
        <v>515</v>
      </c>
      <c r="F10" t="s">
        <v>588</v>
      </c>
      <c r="G10" t="s">
        <v>697</v>
      </c>
      <c r="H10" t="s">
        <v>826</v>
      </c>
      <c r="I10" t="s">
        <v>719</v>
      </c>
      <c r="J10" t="s">
        <v>750</v>
      </c>
      <c r="K10" t="s">
        <v>22</v>
      </c>
      <c r="L10" t="s">
        <v>767</v>
      </c>
      <c r="M10" t="s">
        <v>790</v>
      </c>
      <c r="N10" s="1">
        <v>43831</v>
      </c>
      <c r="O10">
        <v>1</v>
      </c>
      <c r="P10">
        <v>0</v>
      </c>
      <c r="Q10" t="s">
        <v>827</v>
      </c>
      <c r="R10">
        <v>92</v>
      </c>
      <c r="S10" t="s">
        <v>804</v>
      </c>
    </row>
    <row r="11" spans="1:19" hidden="1" x14ac:dyDescent="0.25">
      <c r="A11" t="s">
        <v>802</v>
      </c>
      <c r="B11" t="s">
        <v>828</v>
      </c>
      <c r="C11" t="s">
        <v>51</v>
      </c>
      <c r="E11" t="s">
        <v>466</v>
      </c>
      <c r="F11" t="s">
        <v>592</v>
      </c>
      <c r="G11" t="s">
        <v>637</v>
      </c>
      <c r="H11" t="s">
        <v>797</v>
      </c>
      <c r="I11" t="s">
        <v>722</v>
      </c>
      <c r="J11" t="s">
        <v>753</v>
      </c>
      <c r="K11" t="s">
        <v>22</v>
      </c>
      <c r="L11" t="s">
        <v>767</v>
      </c>
      <c r="M11" t="s">
        <v>790</v>
      </c>
      <c r="N11" s="1">
        <v>43831</v>
      </c>
      <c r="O11">
        <v>0</v>
      </c>
      <c r="P11">
        <v>0</v>
      </c>
      <c r="Q11" t="s">
        <v>829</v>
      </c>
      <c r="R11">
        <v>92</v>
      </c>
      <c r="S11" t="s">
        <v>799</v>
      </c>
    </row>
    <row r="12" spans="1:19" hidden="1" x14ac:dyDescent="0.25">
      <c r="A12" t="s">
        <v>830</v>
      </c>
      <c r="B12" t="s">
        <v>831</v>
      </c>
      <c r="C12" t="s">
        <v>832</v>
      </c>
      <c r="E12" t="s">
        <v>512</v>
      </c>
      <c r="F12" t="s">
        <v>597</v>
      </c>
      <c r="G12" t="s">
        <v>653</v>
      </c>
      <c r="H12" t="s">
        <v>797</v>
      </c>
      <c r="I12" t="s">
        <v>722</v>
      </c>
      <c r="J12" t="s">
        <v>753</v>
      </c>
      <c r="K12" t="s">
        <v>22</v>
      </c>
      <c r="L12" t="s">
        <v>767</v>
      </c>
      <c r="M12" t="s">
        <v>790</v>
      </c>
      <c r="N12" s="1">
        <v>43831</v>
      </c>
      <c r="O12">
        <v>0</v>
      </c>
      <c r="P12">
        <v>0</v>
      </c>
      <c r="Q12" t="s">
        <v>833</v>
      </c>
      <c r="R12">
        <v>92</v>
      </c>
      <c r="S12" t="s">
        <v>799</v>
      </c>
    </row>
    <row r="13" spans="1:19" hidden="1" x14ac:dyDescent="0.25">
      <c r="A13" t="s">
        <v>826</v>
      </c>
      <c r="B13" t="s">
        <v>834</v>
      </c>
      <c r="C13" t="s">
        <v>23</v>
      </c>
      <c r="E13" t="s">
        <v>515</v>
      </c>
      <c r="F13" t="s">
        <v>588</v>
      </c>
      <c r="G13" t="s">
        <v>694</v>
      </c>
      <c r="H13" t="s">
        <v>797</v>
      </c>
      <c r="I13" t="s">
        <v>722</v>
      </c>
      <c r="J13" t="s">
        <v>753</v>
      </c>
      <c r="K13" t="s">
        <v>22</v>
      </c>
      <c r="L13" t="s">
        <v>767</v>
      </c>
      <c r="M13" t="s">
        <v>790</v>
      </c>
      <c r="N13" s="1">
        <v>43831</v>
      </c>
      <c r="O13">
        <v>0</v>
      </c>
      <c r="P13">
        <v>0</v>
      </c>
      <c r="Q13" t="s">
        <v>835</v>
      </c>
      <c r="R13">
        <v>92</v>
      </c>
      <c r="S13" t="s">
        <v>799</v>
      </c>
    </row>
    <row r="14" spans="1:19" hidden="1" x14ac:dyDescent="0.25">
      <c r="A14" t="s">
        <v>836</v>
      </c>
      <c r="B14" t="s">
        <v>837</v>
      </c>
      <c r="C14" t="s">
        <v>89</v>
      </c>
      <c r="E14" t="s">
        <v>466</v>
      </c>
      <c r="F14" t="s">
        <v>613</v>
      </c>
      <c r="G14" t="s">
        <v>656</v>
      </c>
      <c r="H14" t="s">
        <v>838</v>
      </c>
      <c r="I14" t="s">
        <v>719</v>
      </c>
      <c r="J14" t="s">
        <v>750</v>
      </c>
      <c r="K14" t="s">
        <v>22</v>
      </c>
      <c r="L14" t="s">
        <v>767</v>
      </c>
      <c r="M14" t="s">
        <v>790</v>
      </c>
      <c r="N14" s="1">
        <v>43831</v>
      </c>
      <c r="O14">
        <v>1</v>
      </c>
      <c r="P14">
        <v>0</v>
      </c>
      <c r="Q14" t="s">
        <v>839</v>
      </c>
      <c r="R14">
        <v>92</v>
      </c>
      <c r="S14" t="s">
        <v>804</v>
      </c>
    </row>
    <row r="15" spans="1:19" hidden="1" x14ac:dyDescent="0.25">
      <c r="A15" t="s">
        <v>838</v>
      </c>
      <c r="B15" t="s">
        <v>840</v>
      </c>
      <c r="C15" t="s">
        <v>39</v>
      </c>
      <c r="E15" t="s">
        <v>466</v>
      </c>
      <c r="F15" t="s">
        <v>613</v>
      </c>
      <c r="G15" t="s">
        <v>662</v>
      </c>
      <c r="H15" t="s">
        <v>797</v>
      </c>
      <c r="I15" t="s">
        <v>722</v>
      </c>
      <c r="J15" t="s">
        <v>753</v>
      </c>
      <c r="K15" t="s">
        <v>22</v>
      </c>
      <c r="L15" t="s">
        <v>767</v>
      </c>
      <c r="M15" t="s">
        <v>790</v>
      </c>
      <c r="N15" s="1">
        <v>43831</v>
      </c>
      <c r="O15">
        <v>0</v>
      </c>
      <c r="P15">
        <v>0</v>
      </c>
      <c r="Q15" t="s">
        <v>841</v>
      </c>
      <c r="R15">
        <v>92</v>
      </c>
      <c r="S15" t="s">
        <v>799</v>
      </c>
    </row>
    <row r="16" spans="1:19" hidden="1" x14ac:dyDescent="0.25">
      <c r="A16" t="s">
        <v>842</v>
      </c>
      <c r="B16" t="s">
        <v>843</v>
      </c>
      <c r="C16" t="s">
        <v>131</v>
      </c>
      <c r="E16" t="s">
        <v>532</v>
      </c>
      <c r="F16" t="s">
        <v>613</v>
      </c>
      <c r="G16" t="s">
        <v>656</v>
      </c>
      <c r="H16" t="s">
        <v>836</v>
      </c>
      <c r="I16" t="s">
        <v>716</v>
      </c>
      <c r="J16" t="s">
        <v>747</v>
      </c>
      <c r="K16" t="s">
        <v>22</v>
      </c>
      <c r="L16" t="s">
        <v>764</v>
      </c>
      <c r="M16" t="s">
        <v>775</v>
      </c>
      <c r="N16" s="1">
        <v>43831</v>
      </c>
      <c r="O16">
        <v>1</v>
      </c>
      <c r="P16">
        <v>1</v>
      </c>
      <c r="Q16" t="s">
        <v>844</v>
      </c>
      <c r="R16">
        <v>92</v>
      </c>
      <c r="S16" t="s">
        <v>845</v>
      </c>
    </row>
    <row r="17" spans="1:20" x14ac:dyDescent="0.25">
      <c r="A17" t="s">
        <v>846</v>
      </c>
      <c r="B17" t="s">
        <v>847</v>
      </c>
      <c r="C17" t="s">
        <v>135</v>
      </c>
      <c r="E17" t="s">
        <v>532</v>
      </c>
      <c r="F17" t="s">
        <v>613</v>
      </c>
      <c r="G17" t="s">
        <v>656</v>
      </c>
      <c r="H17" t="s">
        <v>836</v>
      </c>
      <c r="I17" t="s">
        <v>716</v>
      </c>
      <c r="J17" t="s">
        <v>747</v>
      </c>
      <c r="K17" t="s">
        <v>22</v>
      </c>
      <c r="L17" t="s">
        <v>764</v>
      </c>
      <c r="M17" t="s">
        <v>775</v>
      </c>
      <c r="N17" s="1">
        <v>43831</v>
      </c>
      <c r="O17">
        <v>1</v>
      </c>
      <c r="P17">
        <v>1</v>
      </c>
      <c r="Q17" t="s">
        <v>848</v>
      </c>
      <c r="R17">
        <v>92</v>
      </c>
      <c r="S17" t="s">
        <v>845</v>
      </c>
    </row>
    <row r="18" spans="1:20" hidden="1" x14ac:dyDescent="0.25">
      <c r="A18" t="s">
        <v>849</v>
      </c>
      <c r="B18" t="s">
        <v>850</v>
      </c>
      <c r="C18" t="s">
        <v>447</v>
      </c>
      <c r="E18" t="s">
        <v>497</v>
      </c>
      <c r="F18" t="s">
        <v>592</v>
      </c>
      <c r="G18" t="s">
        <v>647</v>
      </c>
      <c r="H18" t="s">
        <v>811</v>
      </c>
      <c r="I18" t="s">
        <v>716</v>
      </c>
      <c r="J18" t="s">
        <v>747</v>
      </c>
      <c r="K18" t="s">
        <v>22</v>
      </c>
      <c r="L18" t="s">
        <v>764</v>
      </c>
      <c r="M18" t="s">
        <v>775</v>
      </c>
      <c r="N18" s="1">
        <v>43831</v>
      </c>
      <c r="O18">
        <v>1</v>
      </c>
      <c r="P18">
        <v>1</v>
      </c>
      <c r="Q18" t="s">
        <v>851</v>
      </c>
      <c r="R18">
        <v>92</v>
      </c>
      <c r="S18" t="s">
        <v>852</v>
      </c>
    </row>
    <row r="19" spans="1:20" hidden="1" x14ac:dyDescent="0.25">
      <c r="A19" t="s">
        <v>853</v>
      </c>
      <c r="B19" t="s">
        <v>854</v>
      </c>
      <c r="C19" t="s">
        <v>360</v>
      </c>
      <c r="E19" t="s">
        <v>466</v>
      </c>
      <c r="F19" t="s">
        <v>601</v>
      </c>
      <c r="G19" t="s">
        <v>671</v>
      </c>
      <c r="H19" t="s">
        <v>797</v>
      </c>
      <c r="I19" t="s">
        <v>722</v>
      </c>
      <c r="J19" t="s">
        <v>753</v>
      </c>
      <c r="K19" t="s">
        <v>22</v>
      </c>
      <c r="L19" t="s">
        <v>767</v>
      </c>
      <c r="M19" t="s">
        <v>790</v>
      </c>
      <c r="N19" s="1">
        <v>43831</v>
      </c>
      <c r="O19">
        <v>0</v>
      </c>
      <c r="P19">
        <v>0</v>
      </c>
      <c r="Q19" t="s">
        <v>855</v>
      </c>
      <c r="R19">
        <v>92</v>
      </c>
      <c r="S19" t="s">
        <v>799</v>
      </c>
    </row>
    <row r="20" spans="1:20" hidden="1" x14ac:dyDescent="0.25">
      <c r="A20" t="s">
        <v>856</v>
      </c>
      <c r="B20" t="s">
        <v>857</v>
      </c>
      <c r="C20" t="s">
        <v>60</v>
      </c>
      <c r="E20" t="s">
        <v>466</v>
      </c>
      <c r="F20" t="s">
        <v>606</v>
      </c>
      <c r="G20" t="s">
        <v>674</v>
      </c>
      <c r="H20" t="s">
        <v>797</v>
      </c>
      <c r="I20" t="s">
        <v>722</v>
      </c>
      <c r="J20" t="s">
        <v>753</v>
      </c>
      <c r="K20" t="s">
        <v>22</v>
      </c>
      <c r="L20" t="s">
        <v>767</v>
      </c>
      <c r="M20" t="s">
        <v>790</v>
      </c>
      <c r="N20" s="1">
        <v>43831</v>
      </c>
      <c r="O20">
        <v>0</v>
      </c>
      <c r="P20">
        <v>0</v>
      </c>
      <c r="Q20" t="s">
        <v>858</v>
      </c>
      <c r="R20">
        <v>92</v>
      </c>
      <c r="S20" t="s">
        <v>799</v>
      </c>
    </row>
    <row r="21" spans="1:20" hidden="1" x14ac:dyDescent="0.25">
      <c r="A21" t="s">
        <v>859</v>
      </c>
      <c r="B21" t="s">
        <v>860</v>
      </c>
      <c r="C21" t="s">
        <v>861</v>
      </c>
      <c r="E21" t="s">
        <v>466</v>
      </c>
      <c r="F21" t="s">
        <v>618</v>
      </c>
      <c r="G21" t="s">
        <v>634</v>
      </c>
      <c r="H21" t="s">
        <v>797</v>
      </c>
      <c r="I21" t="s">
        <v>722</v>
      </c>
      <c r="J21" t="s">
        <v>753</v>
      </c>
      <c r="K21" t="s">
        <v>22</v>
      </c>
      <c r="L21" t="s">
        <v>767</v>
      </c>
      <c r="M21" t="s">
        <v>790</v>
      </c>
      <c r="N21" s="1">
        <v>43831</v>
      </c>
      <c r="O21">
        <v>0</v>
      </c>
      <c r="P21">
        <v>0</v>
      </c>
      <c r="Q21" t="s">
        <v>862</v>
      </c>
      <c r="R21">
        <v>92</v>
      </c>
      <c r="S21" t="s">
        <v>799</v>
      </c>
    </row>
    <row r="22" spans="1:20" hidden="1" x14ac:dyDescent="0.25">
      <c r="A22" t="s">
        <v>863</v>
      </c>
      <c r="B22" t="s">
        <v>864</v>
      </c>
      <c r="C22" t="s">
        <v>84</v>
      </c>
      <c r="E22" t="s">
        <v>463</v>
      </c>
      <c r="F22" t="s">
        <v>618</v>
      </c>
      <c r="G22" t="s">
        <v>634</v>
      </c>
      <c r="H22" t="s">
        <v>797</v>
      </c>
      <c r="I22" t="s">
        <v>719</v>
      </c>
      <c r="J22" t="s">
        <v>750</v>
      </c>
      <c r="K22" t="s">
        <v>22</v>
      </c>
      <c r="L22" t="s">
        <v>767</v>
      </c>
      <c r="M22" t="s">
        <v>790</v>
      </c>
      <c r="N22" s="1">
        <v>43831</v>
      </c>
      <c r="O22">
        <v>1</v>
      </c>
      <c r="P22">
        <v>0</v>
      </c>
      <c r="Q22" t="s">
        <v>865</v>
      </c>
      <c r="R22">
        <v>92</v>
      </c>
      <c r="S22" t="s">
        <v>799</v>
      </c>
    </row>
    <row r="23" spans="1:20" hidden="1" x14ac:dyDescent="0.25">
      <c r="A23" t="s">
        <v>797</v>
      </c>
      <c r="B23" t="s">
        <v>866</v>
      </c>
      <c r="C23" t="s">
        <v>66</v>
      </c>
      <c r="E23" t="s">
        <v>459</v>
      </c>
      <c r="F23" t="s">
        <v>583</v>
      </c>
      <c r="G23" t="s">
        <v>631</v>
      </c>
      <c r="H23" t="s">
        <v>797</v>
      </c>
      <c r="I23" t="s">
        <v>726</v>
      </c>
      <c r="J23" t="s">
        <v>756</v>
      </c>
      <c r="K23" t="s">
        <v>22</v>
      </c>
      <c r="L23" t="s">
        <v>767</v>
      </c>
      <c r="M23" t="s">
        <v>790</v>
      </c>
      <c r="N23" s="1">
        <v>43831</v>
      </c>
      <c r="O23">
        <v>0</v>
      </c>
      <c r="P23">
        <v>0</v>
      </c>
      <c r="Q23" t="s">
        <v>867</v>
      </c>
      <c r="R23">
        <v>92</v>
      </c>
      <c r="S23" t="s">
        <v>799</v>
      </c>
      <c r="T23">
        <v>92</v>
      </c>
    </row>
    <row r="24" spans="1:20" hidden="1" x14ac:dyDescent="0.25">
      <c r="A24" t="s">
        <v>868</v>
      </c>
      <c r="B24" t="s">
        <v>869</v>
      </c>
      <c r="C24" t="s">
        <v>168</v>
      </c>
      <c r="E24" t="s">
        <v>532</v>
      </c>
      <c r="F24" t="s">
        <v>613</v>
      </c>
      <c r="G24" t="s">
        <v>656</v>
      </c>
      <c r="H24" t="s">
        <v>836</v>
      </c>
      <c r="I24" t="s">
        <v>716</v>
      </c>
      <c r="J24" t="s">
        <v>747</v>
      </c>
      <c r="K24" t="s">
        <v>22</v>
      </c>
      <c r="L24" t="s">
        <v>764</v>
      </c>
      <c r="M24" t="s">
        <v>775</v>
      </c>
      <c r="N24" s="1">
        <v>43831</v>
      </c>
      <c r="O24">
        <v>1</v>
      </c>
      <c r="P24">
        <v>1</v>
      </c>
      <c r="Q24" t="s">
        <v>870</v>
      </c>
      <c r="R24">
        <v>92</v>
      </c>
      <c r="S24" t="s">
        <v>804</v>
      </c>
    </row>
    <row r="25" spans="1:20" hidden="1" x14ac:dyDescent="0.25">
      <c r="A25" t="s">
        <v>871</v>
      </c>
      <c r="B25" t="s">
        <v>872</v>
      </c>
      <c r="C25" t="s">
        <v>277</v>
      </c>
      <c r="E25" s="2" t="s">
        <v>541</v>
      </c>
      <c r="F25" t="s">
        <v>623</v>
      </c>
      <c r="G25" t="s">
        <v>704</v>
      </c>
      <c r="H25" t="s">
        <v>838</v>
      </c>
      <c r="I25" t="s">
        <v>719</v>
      </c>
      <c r="J25" t="s">
        <v>750</v>
      </c>
      <c r="K25" t="s">
        <v>22</v>
      </c>
      <c r="L25" t="s">
        <v>767</v>
      </c>
      <c r="M25" t="s">
        <v>790</v>
      </c>
      <c r="N25" s="1">
        <v>43831</v>
      </c>
      <c r="O25">
        <v>1</v>
      </c>
      <c r="P25">
        <v>0</v>
      </c>
      <c r="Q25" t="s">
        <v>873</v>
      </c>
      <c r="R25">
        <v>92</v>
      </c>
      <c r="S25" t="s">
        <v>845</v>
      </c>
    </row>
    <row r="26" spans="1:20" hidden="1" x14ac:dyDescent="0.25">
      <c r="A26" t="s">
        <v>874</v>
      </c>
      <c r="B26" t="s">
        <v>875</v>
      </c>
      <c r="C26" t="s">
        <v>876</v>
      </c>
      <c r="E26" t="s">
        <v>472</v>
      </c>
      <c r="F26" t="s">
        <v>592</v>
      </c>
      <c r="G26" t="s">
        <v>647</v>
      </c>
      <c r="H26" t="s">
        <v>805</v>
      </c>
      <c r="I26" t="s">
        <v>713</v>
      </c>
      <c r="J26" t="s">
        <v>734</v>
      </c>
      <c r="K26" t="s">
        <v>22</v>
      </c>
      <c r="L26" t="s">
        <v>760</v>
      </c>
      <c r="M26" t="s">
        <v>784</v>
      </c>
      <c r="N26" s="1">
        <v>43831</v>
      </c>
      <c r="O26">
        <v>1</v>
      </c>
      <c r="P26">
        <v>1</v>
      </c>
      <c r="Q26" t="s">
        <v>877</v>
      </c>
      <c r="R26">
        <v>92</v>
      </c>
      <c r="S26" t="s">
        <v>845</v>
      </c>
    </row>
    <row r="27" spans="1:20" hidden="1" x14ac:dyDescent="0.25">
      <c r="A27" t="s">
        <v>878</v>
      </c>
      <c r="B27" t="s">
        <v>879</v>
      </c>
      <c r="C27" t="s">
        <v>880</v>
      </c>
      <c r="E27" t="s">
        <v>472</v>
      </c>
      <c r="F27" t="s">
        <v>592</v>
      </c>
      <c r="G27" t="s">
        <v>647</v>
      </c>
      <c r="H27" t="s">
        <v>808</v>
      </c>
      <c r="I27" t="s">
        <v>713</v>
      </c>
      <c r="J27" t="s">
        <v>734</v>
      </c>
      <c r="K27" t="s">
        <v>22</v>
      </c>
      <c r="L27" t="s">
        <v>760</v>
      </c>
      <c r="M27" t="s">
        <v>784</v>
      </c>
      <c r="N27" s="1">
        <v>43831</v>
      </c>
      <c r="O27">
        <v>1</v>
      </c>
      <c r="P27">
        <v>1</v>
      </c>
      <c r="Q27" t="s">
        <v>881</v>
      </c>
      <c r="R27">
        <v>92</v>
      </c>
      <c r="S27" t="s">
        <v>845</v>
      </c>
    </row>
    <row r="28" spans="1:20" hidden="1" x14ac:dyDescent="0.25">
      <c r="A28" t="s">
        <v>882</v>
      </c>
      <c r="B28" t="s">
        <v>883</v>
      </c>
      <c r="C28" t="s">
        <v>884</v>
      </c>
      <c r="E28" t="s">
        <v>472</v>
      </c>
      <c r="F28" t="s">
        <v>592</v>
      </c>
      <c r="G28" t="s">
        <v>647</v>
      </c>
      <c r="H28" t="s">
        <v>811</v>
      </c>
      <c r="I28" t="s">
        <v>713</v>
      </c>
      <c r="J28" t="s">
        <v>734</v>
      </c>
      <c r="K28" t="s">
        <v>22</v>
      </c>
      <c r="L28" t="s">
        <v>760</v>
      </c>
      <c r="M28" t="s">
        <v>784</v>
      </c>
      <c r="N28" s="1">
        <v>43831</v>
      </c>
      <c r="O28">
        <v>1</v>
      </c>
      <c r="P28">
        <v>1</v>
      </c>
      <c r="Q28" t="s">
        <v>885</v>
      </c>
      <c r="R28">
        <v>92</v>
      </c>
      <c r="S28" t="s">
        <v>845</v>
      </c>
    </row>
    <row r="29" spans="1:20" hidden="1" x14ac:dyDescent="0.25">
      <c r="A29" t="s">
        <v>886</v>
      </c>
      <c r="B29" t="s">
        <v>887</v>
      </c>
      <c r="C29" t="s">
        <v>888</v>
      </c>
      <c r="E29" t="s">
        <v>497</v>
      </c>
      <c r="F29" t="s">
        <v>592</v>
      </c>
      <c r="G29" t="s">
        <v>647</v>
      </c>
      <c r="H29" t="s">
        <v>805</v>
      </c>
      <c r="I29" t="s">
        <v>716</v>
      </c>
      <c r="J29" t="s">
        <v>747</v>
      </c>
      <c r="K29" t="s">
        <v>22</v>
      </c>
      <c r="L29" t="s">
        <v>764</v>
      </c>
      <c r="M29" t="s">
        <v>775</v>
      </c>
      <c r="N29" s="1">
        <v>43831</v>
      </c>
      <c r="O29">
        <v>1</v>
      </c>
      <c r="P29">
        <v>1</v>
      </c>
      <c r="Q29" t="s">
        <v>889</v>
      </c>
      <c r="R29">
        <v>92</v>
      </c>
      <c r="S29" t="s">
        <v>845</v>
      </c>
    </row>
    <row r="30" spans="1:20" hidden="1" x14ac:dyDescent="0.25">
      <c r="A30" t="s">
        <v>890</v>
      </c>
      <c r="B30" t="s">
        <v>891</v>
      </c>
      <c r="C30" t="s">
        <v>429</v>
      </c>
      <c r="E30" t="s">
        <v>497</v>
      </c>
      <c r="F30" t="s">
        <v>592</v>
      </c>
      <c r="G30" t="s">
        <v>647</v>
      </c>
      <c r="H30" t="s">
        <v>808</v>
      </c>
      <c r="I30" t="s">
        <v>716</v>
      </c>
      <c r="J30" t="s">
        <v>747</v>
      </c>
      <c r="K30" t="s">
        <v>22</v>
      </c>
      <c r="L30" t="s">
        <v>764</v>
      </c>
      <c r="M30" t="s">
        <v>775</v>
      </c>
      <c r="N30" s="1">
        <v>43831</v>
      </c>
      <c r="O30">
        <v>1</v>
      </c>
      <c r="P30">
        <v>1</v>
      </c>
      <c r="Q30" t="s">
        <v>892</v>
      </c>
      <c r="R30">
        <v>92</v>
      </c>
      <c r="S30" t="s">
        <v>845</v>
      </c>
    </row>
    <row r="31" spans="1:20" hidden="1" x14ac:dyDescent="0.25">
      <c r="A31" t="s">
        <v>893</v>
      </c>
      <c r="B31" t="s">
        <v>894</v>
      </c>
      <c r="C31" t="s">
        <v>895</v>
      </c>
      <c r="E31" t="s">
        <v>497</v>
      </c>
      <c r="F31" t="s">
        <v>592</v>
      </c>
      <c r="G31" t="s">
        <v>647</v>
      </c>
      <c r="H31" t="s">
        <v>805</v>
      </c>
      <c r="I31" t="s">
        <v>716</v>
      </c>
      <c r="J31" t="s">
        <v>747</v>
      </c>
      <c r="K31" t="s">
        <v>22</v>
      </c>
      <c r="L31" t="s">
        <v>764</v>
      </c>
      <c r="M31" t="s">
        <v>775</v>
      </c>
      <c r="N31" s="1">
        <v>43831</v>
      </c>
      <c r="O31">
        <v>1</v>
      </c>
      <c r="P31">
        <v>1</v>
      </c>
      <c r="Q31" t="s">
        <v>896</v>
      </c>
      <c r="R31">
        <v>92</v>
      </c>
      <c r="S31" t="s">
        <v>845</v>
      </c>
    </row>
    <row r="32" spans="1:20" hidden="1" x14ac:dyDescent="0.25">
      <c r="A32" t="s">
        <v>897</v>
      </c>
      <c r="B32" t="s">
        <v>898</v>
      </c>
      <c r="C32" t="s">
        <v>443</v>
      </c>
      <c r="E32" t="s">
        <v>497</v>
      </c>
      <c r="F32" t="s">
        <v>592</v>
      </c>
      <c r="G32" t="s">
        <v>647</v>
      </c>
      <c r="H32" t="s">
        <v>808</v>
      </c>
      <c r="I32" t="s">
        <v>716</v>
      </c>
      <c r="J32" t="s">
        <v>747</v>
      </c>
      <c r="K32" t="s">
        <v>22</v>
      </c>
      <c r="L32" t="s">
        <v>764</v>
      </c>
      <c r="M32" t="s">
        <v>775</v>
      </c>
      <c r="N32" s="1">
        <v>43831</v>
      </c>
      <c r="O32">
        <v>1</v>
      </c>
      <c r="P32">
        <v>1</v>
      </c>
      <c r="Q32" t="s">
        <v>899</v>
      </c>
      <c r="R32">
        <v>92</v>
      </c>
      <c r="S32" t="s">
        <v>845</v>
      </c>
    </row>
    <row r="33" spans="1:19" hidden="1" x14ac:dyDescent="0.25">
      <c r="A33" t="s">
        <v>900</v>
      </c>
      <c r="B33" t="s">
        <v>901</v>
      </c>
      <c r="C33" t="s">
        <v>255</v>
      </c>
      <c r="E33" t="s">
        <v>568</v>
      </c>
      <c r="F33" t="s">
        <v>613</v>
      </c>
      <c r="G33" t="s">
        <v>662</v>
      </c>
      <c r="H33" t="s">
        <v>838</v>
      </c>
      <c r="I33" t="s">
        <v>719</v>
      </c>
      <c r="J33" t="s">
        <v>750</v>
      </c>
      <c r="K33" t="s">
        <v>22</v>
      </c>
      <c r="L33" t="s">
        <v>767</v>
      </c>
      <c r="M33" t="s">
        <v>781</v>
      </c>
      <c r="N33" s="1">
        <v>43831</v>
      </c>
      <c r="O33">
        <v>1</v>
      </c>
      <c r="P33">
        <v>0</v>
      </c>
      <c r="Q33" t="s">
        <v>902</v>
      </c>
      <c r="R33">
        <v>92</v>
      </c>
      <c r="S33" t="s">
        <v>902</v>
      </c>
    </row>
    <row r="34" spans="1:19" hidden="1" x14ac:dyDescent="0.25">
      <c r="A34" t="s">
        <v>903</v>
      </c>
      <c r="B34" t="s">
        <v>904</v>
      </c>
      <c r="C34" t="s">
        <v>905</v>
      </c>
      <c r="E34" t="s">
        <v>463</v>
      </c>
      <c r="F34" t="s">
        <v>618</v>
      </c>
      <c r="G34" t="s">
        <v>634</v>
      </c>
      <c r="H34" t="s">
        <v>859</v>
      </c>
      <c r="I34" t="s">
        <v>716</v>
      </c>
      <c r="J34" t="s">
        <v>737</v>
      </c>
      <c r="K34" t="s">
        <v>22</v>
      </c>
      <c r="L34" t="s">
        <v>767</v>
      </c>
      <c r="M34" t="s">
        <v>771</v>
      </c>
      <c r="N34" s="1">
        <v>46023</v>
      </c>
      <c r="O34">
        <v>1</v>
      </c>
      <c r="P34">
        <v>1</v>
      </c>
      <c r="Q34" t="s">
        <v>906</v>
      </c>
      <c r="R34">
        <v>92</v>
      </c>
      <c r="S34" t="s">
        <v>906</v>
      </c>
    </row>
    <row r="35" spans="1:19" hidden="1" x14ac:dyDescent="0.25">
      <c r="A35" t="s">
        <v>907</v>
      </c>
      <c r="B35" t="s">
        <v>908</v>
      </c>
      <c r="C35" t="s">
        <v>909</v>
      </c>
      <c r="E35" t="s">
        <v>469</v>
      </c>
      <c r="F35" t="s">
        <v>592</v>
      </c>
      <c r="G35" t="s">
        <v>637</v>
      </c>
      <c r="H35" t="s">
        <v>802</v>
      </c>
      <c r="I35" t="s">
        <v>716</v>
      </c>
      <c r="J35" t="s">
        <v>744</v>
      </c>
      <c r="K35" t="s">
        <v>22</v>
      </c>
      <c r="L35" t="s">
        <v>767</v>
      </c>
      <c r="M35" t="s">
        <v>781</v>
      </c>
      <c r="N35" s="1">
        <v>42736</v>
      </c>
      <c r="O35">
        <v>1</v>
      </c>
      <c r="P35">
        <v>1</v>
      </c>
      <c r="Q35" t="s">
        <v>910</v>
      </c>
      <c r="R35">
        <v>92</v>
      </c>
      <c r="S35" t="s">
        <v>910</v>
      </c>
    </row>
    <row r="36" spans="1:19" hidden="1" x14ac:dyDescent="0.25">
      <c r="A36" t="s">
        <v>911</v>
      </c>
      <c r="B36" t="s">
        <v>912</v>
      </c>
      <c r="C36" t="s">
        <v>50</v>
      </c>
      <c r="E36" t="s">
        <v>475</v>
      </c>
      <c r="F36" t="s">
        <v>592</v>
      </c>
      <c r="G36" t="s">
        <v>640</v>
      </c>
      <c r="H36" t="s">
        <v>800</v>
      </c>
      <c r="I36" t="s">
        <v>716</v>
      </c>
      <c r="J36" t="s">
        <v>737</v>
      </c>
      <c r="K36" t="s">
        <v>22</v>
      </c>
      <c r="L36" t="s">
        <v>767</v>
      </c>
      <c r="M36" t="s">
        <v>778</v>
      </c>
      <c r="N36" s="1">
        <v>45312</v>
      </c>
      <c r="O36">
        <v>1</v>
      </c>
      <c r="P36">
        <v>0</v>
      </c>
      <c r="Q36" t="s">
        <v>913</v>
      </c>
      <c r="R36">
        <v>92</v>
      </c>
      <c r="S36" t="s">
        <v>913</v>
      </c>
    </row>
    <row r="37" spans="1:19" hidden="1" x14ac:dyDescent="0.25">
      <c r="A37" t="s">
        <v>914</v>
      </c>
      <c r="B37" t="s">
        <v>915</v>
      </c>
      <c r="C37" t="s">
        <v>916</v>
      </c>
      <c r="E37" t="s">
        <v>479</v>
      </c>
      <c r="F37" t="s">
        <v>592</v>
      </c>
      <c r="G37" t="s">
        <v>640</v>
      </c>
      <c r="H37" t="s">
        <v>800</v>
      </c>
      <c r="I37" t="s">
        <v>713</v>
      </c>
      <c r="J37" t="s">
        <v>731</v>
      </c>
      <c r="K37" t="s">
        <v>22</v>
      </c>
      <c r="L37" t="s">
        <v>767</v>
      </c>
      <c r="M37" t="s">
        <v>778</v>
      </c>
      <c r="N37" s="1">
        <v>44641</v>
      </c>
      <c r="O37">
        <v>1</v>
      </c>
      <c r="P37">
        <v>1</v>
      </c>
      <c r="Q37" t="s">
        <v>917</v>
      </c>
      <c r="R37">
        <v>92</v>
      </c>
      <c r="S37" t="s">
        <v>917</v>
      </c>
    </row>
    <row r="38" spans="1:19" hidden="1" x14ac:dyDescent="0.25">
      <c r="A38" t="s">
        <v>918</v>
      </c>
      <c r="B38" t="s">
        <v>919</v>
      </c>
      <c r="C38" t="s">
        <v>305</v>
      </c>
      <c r="E38" t="s">
        <v>482</v>
      </c>
      <c r="F38" t="s">
        <v>592</v>
      </c>
      <c r="G38" t="s">
        <v>637</v>
      </c>
      <c r="H38" t="s">
        <v>802</v>
      </c>
      <c r="I38" t="s">
        <v>716</v>
      </c>
      <c r="J38" t="s">
        <v>737</v>
      </c>
      <c r="K38" t="s">
        <v>22</v>
      </c>
      <c r="L38" t="s">
        <v>767</v>
      </c>
      <c r="M38" t="s">
        <v>778</v>
      </c>
      <c r="N38" s="1">
        <v>42736</v>
      </c>
      <c r="O38">
        <v>1</v>
      </c>
      <c r="P38">
        <v>1</v>
      </c>
      <c r="Q38" t="s">
        <v>920</v>
      </c>
      <c r="R38">
        <v>92</v>
      </c>
      <c r="S38" t="s">
        <v>920</v>
      </c>
    </row>
    <row r="39" spans="1:19" hidden="1" x14ac:dyDescent="0.25">
      <c r="A39" t="s">
        <v>921</v>
      </c>
      <c r="B39" t="s">
        <v>922</v>
      </c>
      <c r="C39" t="s">
        <v>923</v>
      </c>
      <c r="E39" t="s">
        <v>486</v>
      </c>
      <c r="F39" t="s">
        <v>592</v>
      </c>
      <c r="G39" t="s">
        <v>643</v>
      </c>
      <c r="H39" t="s">
        <v>802</v>
      </c>
      <c r="I39" t="s">
        <v>719</v>
      </c>
      <c r="J39" t="s">
        <v>750</v>
      </c>
      <c r="K39" t="s">
        <v>22</v>
      </c>
      <c r="L39" t="s">
        <v>767</v>
      </c>
      <c r="M39" t="s">
        <v>790</v>
      </c>
      <c r="N39" s="1">
        <v>45190</v>
      </c>
      <c r="O39">
        <v>1</v>
      </c>
      <c r="P39">
        <v>0</v>
      </c>
      <c r="Q39" t="s">
        <v>924</v>
      </c>
      <c r="R39">
        <v>92</v>
      </c>
      <c r="S39" t="s">
        <v>924</v>
      </c>
    </row>
    <row r="40" spans="1:19" hidden="1" x14ac:dyDescent="0.25">
      <c r="A40" t="s">
        <v>925</v>
      </c>
      <c r="B40" t="s">
        <v>926</v>
      </c>
      <c r="C40" t="s">
        <v>927</v>
      </c>
      <c r="E40" t="s">
        <v>486</v>
      </c>
      <c r="F40" t="s">
        <v>592</v>
      </c>
      <c r="G40" t="s">
        <v>643</v>
      </c>
      <c r="H40" t="s">
        <v>802</v>
      </c>
      <c r="I40" t="s">
        <v>719</v>
      </c>
      <c r="J40" t="s">
        <v>750</v>
      </c>
      <c r="K40" t="s">
        <v>22</v>
      </c>
      <c r="L40" t="s">
        <v>767</v>
      </c>
      <c r="M40" t="s">
        <v>781</v>
      </c>
      <c r="N40" s="1">
        <v>44490</v>
      </c>
      <c r="O40">
        <v>1</v>
      </c>
      <c r="P40">
        <v>0</v>
      </c>
      <c r="Q40" t="s">
        <v>928</v>
      </c>
      <c r="R40">
        <v>92</v>
      </c>
      <c r="S40" t="s">
        <v>928</v>
      </c>
    </row>
    <row r="41" spans="1:19" hidden="1" x14ac:dyDescent="0.25">
      <c r="A41" t="s">
        <v>929</v>
      </c>
      <c r="B41" t="s">
        <v>930</v>
      </c>
      <c r="C41" t="s">
        <v>931</v>
      </c>
      <c r="E41" t="s">
        <v>486</v>
      </c>
      <c r="F41" t="s">
        <v>592</v>
      </c>
      <c r="G41" t="s">
        <v>643</v>
      </c>
      <c r="H41" t="s">
        <v>921</v>
      </c>
      <c r="I41" t="s">
        <v>716</v>
      </c>
      <c r="J41" t="s">
        <v>737</v>
      </c>
      <c r="K41" t="s">
        <v>22</v>
      </c>
      <c r="L41" t="s">
        <v>767</v>
      </c>
      <c r="M41" t="s">
        <v>778</v>
      </c>
      <c r="N41" s="1">
        <v>42736</v>
      </c>
      <c r="O41">
        <v>1</v>
      </c>
      <c r="P41">
        <v>1</v>
      </c>
      <c r="Q41" t="s">
        <v>932</v>
      </c>
      <c r="R41">
        <v>92</v>
      </c>
      <c r="S41" t="s">
        <v>932</v>
      </c>
    </row>
    <row r="42" spans="1:19" hidden="1" x14ac:dyDescent="0.25">
      <c r="A42" t="s">
        <v>933</v>
      </c>
      <c r="B42" t="s">
        <v>934</v>
      </c>
      <c r="C42" t="s">
        <v>742</v>
      </c>
      <c r="E42" t="s">
        <v>486</v>
      </c>
      <c r="F42" t="s">
        <v>592</v>
      </c>
      <c r="G42" t="s">
        <v>643</v>
      </c>
      <c r="H42" t="s">
        <v>921</v>
      </c>
      <c r="I42" t="s">
        <v>716</v>
      </c>
      <c r="J42" t="s">
        <v>740</v>
      </c>
      <c r="K42" t="s">
        <v>22</v>
      </c>
      <c r="L42" t="s">
        <v>764</v>
      </c>
      <c r="M42" t="s">
        <v>775</v>
      </c>
      <c r="N42" s="1">
        <v>44490</v>
      </c>
      <c r="O42">
        <v>1</v>
      </c>
      <c r="P42">
        <v>1</v>
      </c>
      <c r="Q42" t="s">
        <v>935</v>
      </c>
      <c r="R42">
        <v>92</v>
      </c>
      <c r="S42" t="s">
        <v>935</v>
      </c>
    </row>
    <row r="43" spans="1:19" hidden="1" x14ac:dyDescent="0.25">
      <c r="A43" t="s">
        <v>936</v>
      </c>
      <c r="B43" t="s">
        <v>937</v>
      </c>
      <c r="C43" t="s">
        <v>938</v>
      </c>
      <c r="E43" t="s">
        <v>489</v>
      </c>
      <c r="F43" t="s">
        <v>592</v>
      </c>
      <c r="G43" t="s">
        <v>683</v>
      </c>
      <c r="H43" t="s">
        <v>802</v>
      </c>
      <c r="I43" t="s">
        <v>716</v>
      </c>
      <c r="J43" t="s">
        <v>747</v>
      </c>
      <c r="K43" t="s">
        <v>22</v>
      </c>
      <c r="L43" t="s">
        <v>764</v>
      </c>
      <c r="M43" t="s">
        <v>775</v>
      </c>
      <c r="N43" s="1">
        <v>42736</v>
      </c>
      <c r="O43">
        <v>1</v>
      </c>
      <c r="P43">
        <v>1</v>
      </c>
      <c r="Q43" t="s">
        <v>939</v>
      </c>
      <c r="R43">
        <v>92</v>
      </c>
      <c r="S43" t="s">
        <v>939</v>
      </c>
    </row>
    <row r="44" spans="1:19" hidden="1" x14ac:dyDescent="0.25">
      <c r="A44" t="s">
        <v>940</v>
      </c>
      <c r="B44" t="s">
        <v>941</v>
      </c>
      <c r="C44" t="s">
        <v>942</v>
      </c>
      <c r="E44" t="s">
        <v>489</v>
      </c>
      <c r="F44" t="s">
        <v>592</v>
      </c>
      <c r="G44" t="s">
        <v>683</v>
      </c>
      <c r="H44" t="s">
        <v>936</v>
      </c>
      <c r="I44" t="s">
        <v>716</v>
      </c>
      <c r="J44" t="s">
        <v>740</v>
      </c>
      <c r="K44" t="s">
        <v>22</v>
      </c>
      <c r="L44" t="s">
        <v>764</v>
      </c>
      <c r="M44" t="s">
        <v>775</v>
      </c>
      <c r="N44" s="1">
        <v>42736</v>
      </c>
      <c r="O44">
        <v>1</v>
      </c>
      <c r="P44">
        <v>1</v>
      </c>
      <c r="Q44" t="s">
        <v>943</v>
      </c>
      <c r="R44">
        <v>92</v>
      </c>
      <c r="S44" t="s">
        <v>943</v>
      </c>
    </row>
    <row r="45" spans="1:19" hidden="1" x14ac:dyDescent="0.25">
      <c r="A45" t="s">
        <v>944</v>
      </c>
      <c r="B45" t="s">
        <v>945</v>
      </c>
      <c r="C45" t="s">
        <v>946</v>
      </c>
      <c r="E45" t="s">
        <v>500</v>
      </c>
      <c r="F45" t="s">
        <v>592</v>
      </c>
      <c r="G45" t="s">
        <v>647</v>
      </c>
      <c r="H45" t="s">
        <v>886</v>
      </c>
      <c r="I45" t="s">
        <v>713</v>
      </c>
      <c r="J45" t="s">
        <v>734</v>
      </c>
      <c r="K45" t="s">
        <v>22</v>
      </c>
      <c r="L45" t="s">
        <v>760</v>
      </c>
      <c r="M45" t="s">
        <v>784</v>
      </c>
      <c r="N45" s="1">
        <v>44595</v>
      </c>
      <c r="O45">
        <v>1</v>
      </c>
      <c r="P45">
        <v>1</v>
      </c>
      <c r="Q45" t="s">
        <v>947</v>
      </c>
      <c r="R45">
        <v>92</v>
      </c>
      <c r="S45" t="s">
        <v>947</v>
      </c>
    </row>
    <row r="46" spans="1:19" hidden="1" x14ac:dyDescent="0.25">
      <c r="A46" t="s">
        <v>948</v>
      </c>
      <c r="B46" t="s">
        <v>949</v>
      </c>
      <c r="C46" t="s">
        <v>950</v>
      </c>
      <c r="E46" t="s">
        <v>472</v>
      </c>
      <c r="F46" t="s">
        <v>592</v>
      </c>
      <c r="G46" t="s">
        <v>647</v>
      </c>
      <c r="H46" t="s">
        <v>811</v>
      </c>
      <c r="I46" t="s">
        <v>713</v>
      </c>
      <c r="J46" t="s">
        <v>734</v>
      </c>
      <c r="K46" t="s">
        <v>22</v>
      </c>
      <c r="L46" t="s">
        <v>764</v>
      </c>
      <c r="M46" t="s">
        <v>775</v>
      </c>
      <c r="N46" s="1">
        <v>44490</v>
      </c>
      <c r="O46">
        <v>1</v>
      </c>
      <c r="P46">
        <v>1</v>
      </c>
      <c r="Q46" t="s">
        <v>951</v>
      </c>
      <c r="R46">
        <v>92</v>
      </c>
      <c r="S46" t="s">
        <v>951</v>
      </c>
    </row>
    <row r="47" spans="1:19" hidden="1" x14ac:dyDescent="0.25">
      <c r="A47" t="s">
        <v>952</v>
      </c>
      <c r="B47" t="s">
        <v>953</v>
      </c>
      <c r="C47" t="s">
        <v>954</v>
      </c>
      <c r="E47" t="s">
        <v>503</v>
      </c>
      <c r="F47" t="s">
        <v>592</v>
      </c>
      <c r="G47" t="s">
        <v>647</v>
      </c>
      <c r="H47" t="s">
        <v>893</v>
      </c>
      <c r="I47" t="s">
        <v>713</v>
      </c>
      <c r="J47" t="s">
        <v>734</v>
      </c>
      <c r="K47" t="s">
        <v>22</v>
      </c>
      <c r="L47" t="s">
        <v>760</v>
      </c>
      <c r="M47" t="s">
        <v>784</v>
      </c>
      <c r="N47" s="1">
        <v>44490</v>
      </c>
      <c r="O47">
        <v>1</v>
      </c>
      <c r="P47">
        <v>1</v>
      </c>
      <c r="Q47" t="s">
        <v>955</v>
      </c>
      <c r="R47">
        <v>92</v>
      </c>
      <c r="S47" t="s">
        <v>955</v>
      </c>
    </row>
    <row r="48" spans="1:19" hidden="1" x14ac:dyDescent="0.25">
      <c r="A48" t="s">
        <v>956</v>
      </c>
      <c r="B48" t="s">
        <v>957</v>
      </c>
      <c r="C48" t="s">
        <v>958</v>
      </c>
      <c r="E48" t="s">
        <v>509</v>
      </c>
      <c r="F48" t="s">
        <v>592</v>
      </c>
      <c r="G48" t="s">
        <v>650</v>
      </c>
      <c r="H48" t="s">
        <v>821</v>
      </c>
      <c r="I48" t="s">
        <v>713</v>
      </c>
      <c r="J48" t="s">
        <v>734</v>
      </c>
      <c r="K48" t="s">
        <v>22</v>
      </c>
      <c r="L48" t="s">
        <v>760</v>
      </c>
      <c r="M48" t="s">
        <v>784</v>
      </c>
      <c r="N48" s="1">
        <v>44490</v>
      </c>
      <c r="O48">
        <v>1</v>
      </c>
      <c r="P48">
        <v>1</v>
      </c>
      <c r="Q48" t="s">
        <v>959</v>
      </c>
      <c r="R48">
        <v>92</v>
      </c>
      <c r="S48" t="s">
        <v>959</v>
      </c>
    </row>
    <row r="49" spans="1:19" hidden="1" x14ac:dyDescent="0.25">
      <c r="A49" t="s">
        <v>960</v>
      </c>
      <c r="B49" t="s">
        <v>961</v>
      </c>
      <c r="C49" t="s">
        <v>962</v>
      </c>
      <c r="E49" t="s">
        <v>472</v>
      </c>
      <c r="F49" t="s">
        <v>592</v>
      </c>
      <c r="G49" t="s">
        <v>650</v>
      </c>
      <c r="H49" t="s">
        <v>818</v>
      </c>
      <c r="I49" t="s">
        <v>713</v>
      </c>
      <c r="J49" t="s">
        <v>734</v>
      </c>
      <c r="K49" t="s">
        <v>22</v>
      </c>
      <c r="L49" t="s">
        <v>764</v>
      </c>
      <c r="M49" t="s">
        <v>775</v>
      </c>
      <c r="N49" s="1">
        <v>44490</v>
      </c>
      <c r="O49">
        <v>1</v>
      </c>
      <c r="P49">
        <v>1</v>
      </c>
      <c r="Q49" t="s">
        <v>963</v>
      </c>
      <c r="R49">
        <v>92</v>
      </c>
      <c r="S49" t="s">
        <v>963</v>
      </c>
    </row>
    <row r="50" spans="1:19" hidden="1" x14ac:dyDescent="0.25">
      <c r="A50" t="s">
        <v>964</v>
      </c>
      <c r="B50" t="s">
        <v>965</v>
      </c>
      <c r="C50" t="s">
        <v>966</v>
      </c>
      <c r="E50" t="s">
        <v>512</v>
      </c>
      <c r="F50" t="s">
        <v>597</v>
      </c>
      <c r="G50" t="s">
        <v>653</v>
      </c>
      <c r="H50" t="s">
        <v>797</v>
      </c>
      <c r="I50" t="s">
        <v>719</v>
      </c>
      <c r="J50" t="s">
        <v>750</v>
      </c>
      <c r="K50" t="s">
        <v>22</v>
      </c>
      <c r="L50" t="s">
        <v>767</v>
      </c>
      <c r="M50" t="s">
        <v>790</v>
      </c>
      <c r="N50" s="1">
        <v>44490</v>
      </c>
      <c r="O50">
        <v>1</v>
      </c>
      <c r="P50">
        <v>0</v>
      </c>
      <c r="Q50" t="s">
        <v>967</v>
      </c>
      <c r="R50">
        <v>92</v>
      </c>
      <c r="S50" t="s">
        <v>967</v>
      </c>
    </row>
    <row r="51" spans="1:19" hidden="1" x14ac:dyDescent="0.25">
      <c r="A51" t="s">
        <v>968</v>
      </c>
      <c r="B51" t="s">
        <v>969</v>
      </c>
      <c r="C51" t="s">
        <v>970</v>
      </c>
      <c r="E51" t="s">
        <v>512</v>
      </c>
      <c r="F51" t="s">
        <v>597</v>
      </c>
      <c r="G51" t="s">
        <v>653</v>
      </c>
      <c r="H51" t="s">
        <v>964</v>
      </c>
      <c r="I51" t="s">
        <v>716</v>
      </c>
      <c r="J51" t="s">
        <v>737</v>
      </c>
      <c r="K51" t="s">
        <v>22</v>
      </c>
      <c r="L51" t="s">
        <v>767</v>
      </c>
      <c r="M51" t="s">
        <v>778</v>
      </c>
      <c r="N51" s="1">
        <v>45312</v>
      </c>
      <c r="O51">
        <v>1</v>
      </c>
      <c r="P51">
        <v>0</v>
      </c>
      <c r="Q51" t="s">
        <v>971</v>
      </c>
      <c r="R51">
        <v>92</v>
      </c>
      <c r="S51" t="s">
        <v>971</v>
      </c>
    </row>
    <row r="52" spans="1:19" hidden="1" x14ac:dyDescent="0.25">
      <c r="A52" t="s">
        <v>972</v>
      </c>
      <c r="B52" t="s">
        <v>973</v>
      </c>
      <c r="C52" t="s">
        <v>974</v>
      </c>
      <c r="E52" t="s">
        <v>515</v>
      </c>
      <c r="F52" t="s">
        <v>588</v>
      </c>
      <c r="G52" t="s">
        <v>694</v>
      </c>
      <c r="H52" t="s">
        <v>826</v>
      </c>
      <c r="I52" t="s">
        <v>716</v>
      </c>
      <c r="J52" t="s">
        <v>737</v>
      </c>
      <c r="K52" t="s">
        <v>22</v>
      </c>
      <c r="L52" t="s">
        <v>767</v>
      </c>
      <c r="M52" t="s">
        <v>790</v>
      </c>
      <c r="N52" s="1">
        <v>44490</v>
      </c>
      <c r="O52">
        <v>1</v>
      </c>
      <c r="P52">
        <v>1</v>
      </c>
      <c r="Q52" t="s">
        <v>975</v>
      </c>
      <c r="R52">
        <v>92</v>
      </c>
      <c r="S52" t="s">
        <v>975</v>
      </c>
    </row>
    <row r="53" spans="1:19" hidden="1" x14ac:dyDescent="0.25">
      <c r="A53" t="s">
        <v>976</v>
      </c>
      <c r="B53" t="s">
        <v>977</v>
      </c>
      <c r="C53" t="s">
        <v>978</v>
      </c>
      <c r="E53" t="s">
        <v>515</v>
      </c>
      <c r="F53" t="s">
        <v>588</v>
      </c>
      <c r="G53" t="s">
        <v>694</v>
      </c>
      <c r="H53" t="s">
        <v>826</v>
      </c>
      <c r="I53" t="s">
        <v>716</v>
      </c>
      <c r="J53" t="s">
        <v>744</v>
      </c>
      <c r="K53" t="s">
        <v>22</v>
      </c>
      <c r="L53" t="s">
        <v>767</v>
      </c>
      <c r="M53" t="s">
        <v>778</v>
      </c>
      <c r="N53" s="1">
        <v>44490</v>
      </c>
      <c r="O53">
        <v>1</v>
      </c>
      <c r="P53">
        <v>1</v>
      </c>
      <c r="Q53" t="s">
        <v>979</v>
      </c>
      <c r="R53">
        <v>92</v>
      </c>
      <c r="S53" t="s">
        <v>979</v>
      </c>
    </row>
    <row r="54" spans="1:19" hidden="1" x14ac:dyDescent="0.25">
      <c r="A54" t="s">
        <v>980</v>
      </c>
      <c r="B54" t="s">
        <v>981</v>
      </c>
      <c r="C54" t="s">
        <v>982</v>
      </c>
      <c r="E54" t="s">
        <v>463</v>
      </c>
      <c r="F54" t="s">
        <v>618</v>
      </c>
      <c r="G54" t="s">
        <v>634</v>
      </c>
      <c r="H54" t="s">
        <v>863</v>
      </c>
      <c r="I54" t="s">
        <v>716</v>
      </c>
      <c r="J54" t="s">
        <v>737</v>
      </c>
      <c r="K54" t="s">
        <v>22</v>
      </c>
      <c r="L54" t="s">
        <v>767</v>
      </c>
      <c r="M54" t="s">
        <v>771</v>
      </c>
      <c r="N54" s="1">
        <v>44641</v>
      </c>
      <c r="O54">
        <v>1</v>
      </c>
      <c r="P54">
        <v>1</v>
      </c>
      <c r="Q54" t="s">
        <v>983</v>
      </c>
      <c r="R54">
        <v>92</v>
      </c>
      <c r="S54" t="s">
        <v>983</v>
      </c>
    </row>
    <row r="55" spans="1:19" hidden="1" x14ac:dyDescent="0.25">
      <c r="A55" t="s">
        <v>984</v>
      </c>
      <c r="B55" t="s">
        <v>985</v>
      </c>
      <c r="C55" t="s">
        <v>986</v>
      </c>
      <c r="E55" t="s">
        <v>515</v>
      </c>
      <c r="F55" t="s">
        <v>588</v>
      </c>
      <c r="G55" t="s">
        <v>694</v>
      </c>
      <c r="H55" t="s">
        <v>826</v>
      </c>
      <c r="I55" t="s">
        <v>716</v>
      </c>
      <c r="J55" t="s">
        <v>737</v>
      </c>
      <c r="K55" t="s">
        <v>22</v>
      </c>
      <c r="L55" t="s">
        <v>767</v>
      </c>
      <c r="M55" t="s">
        <v>790</v>
      </c>
      <c r="N55" s="1">
        <v>45403</v>
      </c>
      <c r="O55">
        <v>1</v>
      </c>
      <c r="P55">
        <v>0</v>
      </c>
      <c r="Q55" t="s">
        <v>987</v>
      </c>
      <c r="R55">
        <v>92</v>
      </c>
      <c r="S55" t="s">
        <v>987</v>
      </c>
    </row>
    <row r="56" spans="1:19" hidden="1" x14ac:dyDescent="0.25">
      <c r="A56" t="s">
        <v>988</v>
      </c>
      <c r="B56" t="s">
        <v>989</v>
      </c>
      <c r="C56" t="s">
        <v>990</v>
      </c>
      <c r="E56" t="s">
        <v>515</v>
      </c>
      <c r="F56" t="s">
        <v>588</v>
      </c>
      <c r="G56" t="s">
        <v>694</v>
      </c>
      <c r="H56" t="s">
        <v>826</v>
      </c>
      <c r="I56" t="s">
        <v>716</v>
      </c>
      <c r="J56" t="s">
        <v>737</v>
      </c>
      <c r="K56" t="s">
        <v>22</v>
      </c>
      <c r="L56" t="s">
        <v>767</v>
      </c>
      <c r="M56" t="s">
        <v>790</v>
      </c>
      <c r="N56" s="1">
        <v>44490</v>
      </c>
      <c r="O56">
        <v>1</v>
      </c>
      <c r="P56">
        <v>1</v>
      </c>
      <c r="Q56" t="s">
        <v>991</v>
      </c>
      <c r="R56">
        <v>92</v>
      </c>
      <c r="S56" t="s">
        <v>991</v>
      </c>
    </row>
    <row r="57" spans="1:19" hidden="1" x14ac:dyDescent="0.25">
      <c r="A57" t="s">
        <v>992</v>
      </c>
      <c r="B57" t="s">
        <v>993</v>
      </c>
      <c r="C57" t="s">
        <v>97</v>
      </c>
      <c r="E57" t="s">
        <v>515</v>
      </c>
      <c r="F57" t="s">
        <v>588</v>
      </c>
      <c r="G57" t="s">
        <v>697</v>
      </c>
      <c r="H57" t="s">
        <v>824</v>
      </c>
      <c r="I57" t="s">
        <v>716</v>
      </c>
      <c r="J57" t="s">
        <v>737</v>
      </c>
      <c r="K57" t="s">
        <v>22</v>
      </c>
      <c r="L57" t="s">
        <v>767</v>
      </c>
      <c r="M57" t="s">
        <v>778</v>
      </c>
      <c r="N57" s="1">
        <v>44490</v>
      </c>
      <c r="O57">
        <v>1</v>
      </c>
      <c r="P57">
        <v>1</v>
      </c>
      <c r="Q57" t="s">
        <v>994</v>
      </c>
      <c r="R57">
        <v>92</v>
      </c>
      <c r="S57" t="s">
        <v>994</v>
      </c>
    </row>
    <row r="58" spans="1:19" hidden="1" x14ac:dyDescent="0.25">
      <c r="A58" t="s">
        <v>995</v>
      </c>
      <c r="B58" t="s">
        <v>996</v>
      </c>
      <c r="C58" t="s">
        <v>997</v>
      </c>
      <c r="E58" t="s">
        <v>515</v>
      </c>
      <c r="F58" t="s">
        <v>588</v>
      </c>
      <c r="G58" t="s">
        <v>697</v>
      </c>
      <c r="H58" t="s">
        <v>824</v>
      </c>
      <c r="I58" t="s">
        <v>716</v>
      </c>
      <c r="J58" t="s">
        <v>744</v>
      </c>
      <c r="K58" t="s">
        <v>22</v>
      </c>
      <c r="L58" t="s">
        <v>767</v>
      </c>
      <c r="M58" t="s">
        <v>781</v>
      </c>
      <c r="N58" s="1">
        <v>44490</v>
      </c>
      <c r="O58">
        <v>1</v>
      </c>
      <c r="P58">
        <v>1</v>
      </c>
      <c r="Q58" t="s">
        <v>998</v>
      </c>
      <c r="R58">
        <v>92</v>
      </c>
      <c r="S58" t="s">
        <v>998</v>
      </c>
    </row>
    <row r="59" spans="1:19" hidden="1" x14ac:dyDescent="0.25">
      <c r="A59" t="s">
        <v>999</v>
      </c>
      <c r="B59" t="s">
        <v>1000</v>
      </c>
      <c r="C59" t="s">
        <v>104</v>
      </c>
      <c r="E59" t="s">
        <v>515</v>
      </c>
      <c r="F59" t="s">
        <v>588</v>
      </c>
      <c r="G59" t="s">
        <v>697</v>
      </c>
      <c r="H59" t="s">
        <v>824</v>
      </c>
      <c r="I59" t="s">
        <v>716</v>
      </c>
      <c r="J59" t="s">
        <v>737</v>
      </c>
      <c r="K59" t="s">
        <v>22</v>
      </c>
      <c r="L59" t="s">
        <v>767</v>
      </c>
      <c r="M59" t="s">
        <v>787</v>
      </c>
      <c r="N59" s="1">
        <v>44490</v>
      </c>
      <c r="O59">
        <v>1</v>
      </c>
      <c r="P59">
        <v>1</v>
      </c>
      <c r="Q59" t="s">
        <v>1001</v>
      </c>
      <c r="R59">
        <v>92</v>
      </c>
      <c r="S59" t="s">
        <v>1001</v>
      </c>
    </row>
    <row r="60" spans="1:19" hidden="1" x14ac:dyDescent="0.25">
      <c r="A60" t="s">
        <v>1002</v>
      </c>
      <c r="B60" t="s">
        <v>1003</v>
      </c>
      <c r="C60" t="s">
        <v>1004</v>
      </c>
      <c r="E60" t="s">
        <v>515</v>
      </c>
      <c r="F60" t="s">
        <v>588</v>
      </c>
      <c r="G60" t="s">
        <v>700</v>
      </c>
      <c r="H60" t="s">
        <v>826</v>
      </c>
      <c r="I60" t="s">
        <v>716</v>
      </c>
      <c r="J60" t="s">
        <v>744</v>
      </c>
      <c r="K60" t="s">
        <v>22</v>
      </c>
      <c r="L60" t="s">
        <v>767</v>
      </c>
      <c r="M60" t="s">
        <v>781</v>
      </c>
      <c r="N60" s="1">
        <v>44490</v>
      </c>
      <c r="O60">
        <v>1</v>
      </c>
      <c r="P60">
        <v>1</v>
      </c>
      <c r="Q60" t="s">
        <v>1005</v>
      </c>
      <c r="R60">
        <v>92</v>
      </c>
      <c r="S60" t="s">
        <v>1005</v>
      </c>
    </row>
    <row r="61" spans="1:19" hidden="1" x14ac:dyDescent="0.25">
      <c r="A61" t="s">
        <v>1006</v>
      </c>
      <c r="B61" t="s">
        <v>1007</v>
      </c>
      <c r="C61" t="s">
        <v>437</v>
      </c>
      <c r="E61" t="s">
        <v>472</v>
      </c>
      <c r="F61" t="s">
        <v>592</v>
      </c>
      <c r="G61" t="s">
        <v>647</v>
      </c>
      <c r="H61" t="s">
        <v>805</v>
      </c>
      <c r="I61" t="s">
        <v>716</v>
      </c>
      <c r="J61" t="s">
        <v>737</v>
      </c>
      <c r="K61" t="s">
        <v>22</v>
      </c>
      <c r="L61" t="s">
        <v>767</v>
      </c>
      <c r="M61" t="s">
        <v>778</v>
      </c>
      <c r="N61" s="1">
        <v>42736</v>
      </c>
      <c r="O61">
        <v>1</v>
      </c>
      <c r="P61">
        <v>1</v>
      </c>
      <c r="Q61" t="s">
        <v>1008</v>
      </c>
      <c r="R61">
        <v>92</v>
      </c>
      <c r="S61" t="s">
        <v>1008</v>
      </c>
    </row>
  </sheetData>
  <autoFilter ref="A1:C61" xr:uid="{BEA93EDE-D62C-4D36-AAF8-29EF1DA30BFE}">
    <filterColumn colId="2">
      <filters>
        <filter val="WH Material  Lead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Sheet10</vt:lpstr>
      <vt:lpstr>Sheet3</vt:lpstr>
      <vt:lpstr>Sheet4</vt:lpstr>
      <vt:lpstr>Sheet5</vt:lpstr>
      <vt:lpstr>Sheet6</vt:lpstr>
      <vt:lpstr>Sheet7</vt:lpstr>
      <vt:lpstr>Sheet8</vt:lpstr>
      <vt:lpstr>Sheet9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Ardy Priyo Sudiyantoko</dc:creator>
  <cp:lastModifiedBy>Ardy Priyo Sudiyantoko</cp:lastModifiedBy>
  <dcterms:created xsi:type="dcterms:W3CDTF">2026-02-18T08:01:39Z</dcterms:created>
  <dcterms:modified xsi:type="dcterms:W3CDTF">2026-02-18T08:41:01Z</dcterms:modified>
</cp:coreProperties>
</file>